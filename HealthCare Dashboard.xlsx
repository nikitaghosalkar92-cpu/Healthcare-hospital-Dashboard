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78d8b55cdfec3b26/Desktop/PROJECT IT VEDANT/"/>
    </mc:Choice>
  </mc:AlternateContent>
  <xr:revisionPtr revIDLastSave="634" documentId="13_ncr:1_{86795BE1-D25E-4503-B6F9-74BDC437398E}" xr6:coauthVersionLast="47" xr6:coauthVersionMax="47" xr10:uidLastSave="{12365DA6-371D-4113-A7E6-C277412BECA3}"/>
  <bookViews>
    <workbookView xWindow="-108" yWindow="-108" windowWidth="23256" windowHeight="12456" activeTab="2" xr2:uid="{9BCA82FD-84E3-4D8D-9368-574C3E791597}"/>
  </bookViews>
  <sheets>
    <sheet name="Pivot Table" sheetId="4" r:id="rId1"/>
    <sheet name="healthcare_dataset" sheetId="1" r:id="rId2"/>
    <sheet name="HealthCare Dashboard" sheetId="5" r:id="rId3"/>
  </sheets>
  <definedNames>
    <definedName name="_xlnm._FilterDatabase" localSheetId="1" hidden="1">healthcare_dataset!$A$1:$O$200</definedName>
    <definedName name="Slicer_Gender">#N/A</definedName>
    <definedName name="Slicer_Years__Discharge_Date">#N/A</definedName>
  </definedNames>
  <calcPr calcId="0"/>
  <pivotCaches>
    <pivotCache cacheId="4" r:id="rId4"/>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<sst xmlns="http://schemas.openxmlformats.org/spreadsheetml/2006/main" count="2282" uniqueCount="658">
  <si>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</si>
  <si>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</si>
  <si>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</si>
  <si>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</si>
  <si>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</si>
  <si>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</si>
  <si>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</si>
  <si>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</si>
  <si>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</si>
  <si>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</si>
  <si>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</si>
  <si>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</si>
  <si>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</si>
  <si>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</si>
  <si>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</si>
  <si>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Bobby JacksOn</t>
  </si>
  <si>
    <t>Male</t>
  </si>
  <si>
    <t>B-</t>
  </si>
  <si>
    <t>Cancer</t>
  </si>
  <si>
    <t>Matthew Smith</t>
  </si>
  <si>
    <t>Sons and Miller</t>
  </si>
  <si>
    <t>Blue Cross</t>
  </si>
  <si>
    <t>Urgent</t>
  </si>
  <si>
    <t>Paracetamol</t>
  </si>
  <si>
    <t>Normal</t>
  </si>
  <si>
    <t>LesLie TErRy</t>
  </si>
  <si>
    <t>A+</t>
  </si>
  <si>
    <t>Obesity</t>
  </si>
  <si>
    <t>Samantha Davies</t>
  </si>
  <si>
    <t>Kim Inc</t>
  </si>
  <si>
    <t>Medicare</t>
  </si>
  <si>
    <t>Emergency</t>
  </si>
  <si>
    <t>Ibuprofen</t>
  </si>
  <si>
    <t>Inconclusive</t>
  </si>
  <si>
    <t>DaNnY sMitH</t>
  </si>
  <si>
    <t>Female</t>
  </si>
  <si>
    <t>A-</t>
  </si>
  <si>
    <t>Tiffany Mitchell</t>
  </si>
  <si>
    <t>Cook PLC</t>
  </si>
  <si>
    <t>Aetna</t>
  </si>
  <si>
    <t>Aspirin</t>
  </si>
  <si>
    <t>andrEw waTtS</t>
  </si>
  <si>
    <t>O+</t>
  </si>
  <si>
    <t>Diabetes</t>
  </si>
  <si>
    <t>Kevin Wells</t>
  </si>
  <si>
    <t>Hernandez Rogers and Vang,</t>
  </si>
  <si>
    <t>Elective</t>
  </si>
  <si>
    <t>Abnormal</t>
  </si>
  <si>
    <t>adrIENNE bEll</t>
  </si>
  <si>
    <t>AB+</t>
  </si>
  <si>
    <t>Kathleen Hanna</t>
  </si>
  <si>
    <t>White-White</t>
  </si>
  <si>
    <t>Penicillin</t>
  </si>
  <si>
    <t>EMILY JOHNSOn</t>
  </si>
  <si>
    <t>Asthma</t>
  </si>
  <si>
    <t>Taylor Newton</t>
  </si>
  <si>
    <t>Nunez-Humphrey</t>
  </si>
  <si>
    <t>UnitedHealthcare</t>
  </si>
  <si>
    <t>edwArD EDWaRDs</t>
  </si>
  <si>
    <t>AB-</t>
  </si>
  <si>
    <t>Kelly Olson</t>
  </si>
  <si>
    <t>Group Middleton</t>
  </si>
  <si>
    <t>CHrisTInA MARtinez</t>
  </si>
  <si>
    <t>Suzanne Thomas</t>
  </si>
  <si>
    <t>Powell Robinson and Valdez,</t>
  </si>
  <si>
    <t>Cigna</t>
  </si>
  <si>
    <t>JASmINe aGuIlaR</t>
  </si>
  <si>
    <t>Daniel Ferguson</t>
  </si>
  <si>
    <t>Sons Rich and</t>
  </si>
  <si>
    <t>ChRISTopher BerG</t>
  </si>
  <si>
    <t>Heather Day</t>
  </si>
  <si>
    <t>Padilla-Walker</t>
  </si>
  <si>
    <t>mIchElLe daniELs</t>
  </si>
  <si>
    <t>John Duncan</t>
  </si>
  <si>
    <t>Schaefer-Porter</t>
  </si>
  <si>
    <t>aaRon MARtiNeZ</t>
  </si>
  <si>
    <t>Hypertension</t>
  </si>
  <si>
    <t>Douglas Mayo</t>
  </si>
  <si>
    <t>Lyons-Blair</t>
  </si>
  <si>
    <t>Lipitor</t>
  </si>
  <si>
    <t>connOR HANsEn</t>
  </si>
  <si>
    <t>Kenneth Fletcher</t>
  </si>
  <si>
    <t>Powers Miller, and Flores</t>
  </si>
  <si>
    <t>rObeRt bAuer</t>
  </si>
  <si>
    <t>Theresa Freeman</t>
  </si>
  <si>
    <t>Rivera-Gutierrez</t>
  </si>
  <si>
    <t>bROOkE brady</t>
  </si>
  <si>
    <t>Roberta Stewart</t>
  </si>
  <si>
    <t>Morris-Arellano</t>
  </si>
  <si>
    <t>MS. nAtalIE gAMble</t>
  </si>
  <si>
    <t>Maria Dougherty</t>
  </si>
  <si>
    <t>Cline-Williams</t>
  </si>
  <si>
    <t>haley perkins</t>
  </si>
  <si>
    <t>Arthritis</t>
  </si>
  <si>
    <t>Erica Spencer</t>
  </si>
  <si>
    <t>Cervantes-Wells</t>
  </si>
  <si>
    <t>mRS. jamiE cAMPBELl</t>
  </si>
  <si>
    <t>Justin Kim</t>
  </si>
  <si>
    <t>Torres, and Harrison Jones</t>
  </si>
  <si>
    <t>LuKE BuRgEss</t>
  </si>
  <si>
    <t>Justin Moore Jr.</t>
  </si>
  <si>
    <t>Houston PLC</t>
  </si>
  <si>
    <t>dANIEL schmIdt</t>
  </si>
  <si>
    <t>B+</t>
  </si>
  <si>
    <t>Denise Galloway</t>
  </si>
  <si>
    <t>Hammond Ltd</t>
  </si>
  <si>
    <t>tIMOTHY burNs</t>
  </si>
  <si>
    <t>Krista Smith</t>
  </si>
  <si>
    <t>Jones LLC</t>
  </si>
  <si>
    <t>ChRISToPHEr BRiGhT</t>
  </si>
  <si>
    <t>Gregory Smith</t>
  </si>
  <si>
    <t>Williams-Davis</t>
  </si>
  <si>
    <t>KatHRYn StewArt</t>
  </si>
  <si>
    <t>Vanessa Newton</t>
  </si>
  <si>
    <t>Clark-Mayo</t>
  </si>
  <si>
    <t>dR. EilEEn thomPsoN</t>
  </si>
  <si>
    <t>Donna Martinez MD</t>
  </si>
  <si>
    <t>and Sons Smith</t>
  </si>
  <si>
    <t>PAUl hEndERsOn</t>
  </si>
  <si>
    <t>Stephanie Kramer</t>
  </si>
  <si>
    <t>Wilson Group</t>
  </si>
  <si>
    <t>PeTER fiTzgeRaLd</t>
  </si>
  <si>
    <t>Angela Contreras</t>
  </si>
  <si>
    <t>Garner-Bowman</t>
  </si>
  <si>
    <t>cathy sMaLl</t>
  </si>
  <si>
    <t>O-</t>
  </si>
  <si>
    <t>Wendy Glenn</t>
  </si>
  <si>
    <t>Brown, and Jones Weaver</t>
  </si>
  <si>
    <t>mr. KenNEth MoORE</t>
  </si>
  <si>
    <t>James Ellis</t>
  </si>
  <si>
    <t>Serrano-Dixon</t>
  </si>
  <si>
    <t>MaRy hUNter</t>
  </si>
  <si>
    <t>Jared Bruce Jr.</t>
  </si>
  <si>
    <t>Gardner-Miller</t>
  </si>
  <si>
    <t>jOSHUA OLiVer</t>
  </si>
  <si>
    <t>Brandy Mitchell</t>
  </si>
  <si>
    <t>Guerrero-Boone</t>
  </si>
  <si>
    <t>ThOMAS MartInEZ</t>
  </si>
  <si>
    <t>Jacob Huynh</t>
  </si>
  <si>
    <t>Hart Ltd</t>
  </si>
  <si>
    <t>JAmES pattERson</t>
  </si>
  <si>
    <t>Kristina Frazier</t>
  </si>
  <si>
    <t>Cruz-Santiago</t>
  </si>
  <si>
    <t>WilLIAM cOOPEr</t>
  </si>
  <si>
    <t>John Hartman</t>
  </si>
  <si>
    <t>Group Duncan</t>
  </si>
  <si>
    <t>Erin oRTEga</t>
  </si>
  <si>
    <t>Heather Garcia</t>
  </si>
  <si>
    <t>Lopez-Phillips</t>
  </si>
  <si>
    <t>NicOlE RodriGUEz</t>
  </si>
  <si>
    <t>Lynn Young</t>
  </si>
  <si>
    <t>Poole Inc</t>
  </si>
  <si>
    <t>DAvID AndErSON</t>
  </si>
  <si>
    <t>Emma Allison</t>
  </si>
  <si>
    <t>Sons and Cox</t>
  </si>
  <si>
    <t>DEnIse ToRRES</t>
  </si>
  <si>
    <t>Laura Myers</t>
  </si>
  <si>
    <t>LLC Martin</t>
  </si>
  <si>
    <t>CasSAndrA Robinson</t>
  </si>
  <si>
    <t>Travis Parsons</t>
  </si>
  <si>
    <t>Espinoza-Stone</t>
  </si>
  <si>
    <t>NIcOlE LUcErO</t>
  </si>
  <si>
    <t>Christine Johnson</t>
  </si>
  <si>
    <t>and Garcia Morris Cunningham,</t>
  </si>
  <si>
    <t>PAmela fErNanDeZ</t>
  </si>
  <si>
    <t>Emily Taylor</t>
  </si>
  <si>
    <t>Walton-Meyer</t>
  </si>
  <si>
    <t>chRiSTOPHer LEe</t>
  </si>
  <si>
    <t>William Reynolds</t>
  </si>
  <si>
    <t>PLC Young</t>
  </si>
  <si>
    <t>ThomAS morsE</t>
  </si>
  <si>
    <t>Jennifer Carter</t>
  </si>
  <si>
    <t>Meadows Group</t>
  </si>
  <si>
    <t>Mr. eRiC Lane</t>
  </si>
  <si>
    <t>Matthew Thomas</t>
  </si>
  <si>
    <t>and Howell Brooks, Rogers</t>
  </si>
  <si>
    <t>KAThEriNE SmiTH</t>
  </si>
  <si>
    <t>Mary Logan</t>
  </si>
  <si>
    <t>and Mcclure White Boone,</t>
  </si>
  <si>
    <t>pAUL wILLiAmS</t>
  </si>
  <si>
    <t>Kristin Martinez</t>
  </si>
  <si>
    <t>Gates Brown, and Stuart</t>
  </si>
  <si>
    <t>lYNn MaRtinez</t>
  </si>
  <si>
    <t>Daniel Murphy</t>
  </si>
  <si>
    <t>Group Armstrong</t>
  </si>
  <si>
    <t>chRIsTOpHEr CHaPmAN</t>
  </si>
  <si>
    <t>Emily Patterson</t>
  </si>
  <si>
    <t>Ltd Schwartz</t>
  </si>
  <si>
    <t>CHRis fRYe</t>
  </si>
  <si>
    <t>Heather Smith</t>
  </si>
  <si>
    <t>Nelson-Phillips</t>
  </si>
  <si>
    <t>kyLE bEnneTT</t>
  </si>
  <si>
    <t>John Smith</t>
  </si>
  <si>
    <t>Knight and Nguyen, Riggs</t>
  </si>
  <si>
    <t>BRandOn coLLINS</t>
  </si>
  <si>
    <t>Cameron Young</t>
  </si>
  <si>
    <t>Lopez PLC</t>
  </si>
  <si>
    <t>mIchael LiU</t>
  </si>
  <si>
    <t>Vicki Nguyen</t>
  </si>
  <si>
    <t>Fernandez and Phillips, Singh</t>
  </si>
  <si>
    <t>STepHaNie kEnt</t>
  </si>
  <si>
    <t>Mary Moss</t>
  </si>
  <si>
    <t>Beck-Galloway</t>
  </si>
  <si>
    <t>JessE BaNks</t>
  </si>
  <si>
    <t>Alexander Garcia</t>
  </si>
  <si>
    <t>Decker Glover, and Christensen</t>
  </si>
  <si>
    <t>PeGGY LEe</t>
  </si>
  <si>
    <t>Patrick Burns</t>
  </si>
  <si>
    <t>Nelson Walker Myers, and</t>
  </si>
  <si>
    <t>TAmARa hErNAndez</t>
  </si>
  <si>
    <t>Kayla Powers</t>
  </si>
  <si>
    <t>Mitchell-Navarro</t>
  </si>
  <si>
    <t>mR. DAVID pIERce Md</t>
  </si>
  <si>
    <t>Julia Cox</t>
  </si>
  <si>
    <t>Group Delgado</t>
  </si>
  <si>
    <t>beThaNY MoOrE</t>
  </si>
  <si>
    <t>Penny Pruitt</t>
  </si>
  <si>
    <t>and Montes Graves, Thomas</t>
  </si>
  <si>
    <t>MIChael MIllS</t>
  </si>
  <si>
    <t>Mrs. Lori Hurst PhD</t>
  </si>
  <si>
    <t>Hall-Bentley</t>
  </si>
  <si>
    <t>kyle Wiley</t>
  </si>
  <si>
    <t>Stephen Carr</t>
  </si>
  <si>
    <t>Taylor-Nguyen</t>
  </si>
  <si>
    <t>jACqUeLINE jORdaN</t>
  </si>
  <si>
    <t>Jacob Daniel</t>
  </si>
  <si>
    <t>Hunter-Grant</t>
  </si>
  <si>
    <t>ASHleY guTIERreZ</t>
  </si>
  <si>
    <t>Tyler Braun</t>
  </si>
  <si>
    <t>Miller-Lawson</t>
  </si>
  <si>
    <t>Kim ScOtt</t>
  </si>
  <si>
    <t>Cindy Ellis</t>
  </si>
  <si>
    <t>Scott-Kelly</t>
  </si>
  <si>
    <t>tRAvIs carTeR</t>
  </si>
  <si>
    <t>Megan Hahn</t>
  </si>
  <si>
    <t>Moss and Ferguson, Baker</t>
  </si>
  <si>
    <t>LArry rodgeRs</t>
  </si>
  <si>
    <t>Eric Kelly</t>
  </si>
  <si>
    <t>and Mason Smith Chase,</t>
  </si>
  <si>
    <t>Nancy glOVeR</t>
  </si>
  <si>
    <t>Jennifer Larson</t>
  </si>
  <si>
    <t>Khan, and Rodriguez Fischer</t>
  </si>
  <si>
    <t>JessIca king</t>
  </si>
  <si>
    <t>William Hess</t>
  </si>
  <si>
    <t>Sons Watson and</t>
  </si>
  <si>
    <t>ChRiStOPhER gOnzAlez</t>
  </si>
  <si>
    <t>Patricia Dunn</t>
  </si>
  <si>
    <t>Rhodes-Carey</t>
  </si>
  <si>
    <t>jOhN hARTmAN</t>
  </si>
  <si>
    <t>Jack Jackson</t>
  </si>
  <si>
    <t>Bullock-Ramsey</t>
  </si>
  <si>
    <t>MicHAEl MillEr</t>
  </si>
  <si>
    <t>Jonathan Drake</t>
  </si>
  <si>
    <t>Clark Brown, and Myers</t>
  </si>
  <si>
    <t>Erica myERS</t>
  </si>
  <si>
    <t>Ian Benitez</t>
  </si>
  <si>
    <t>Jackson and Lane, Dillon</t>
  </si>
  <si>
    <t>cAROl PaTtERSoN</t>
  </si>
  <si>
    <t>Jamie Baker</t>
  </si>
  <si>
    <t>Turner Cook, Banks and</t>
  </si>
  <si>
    <t>JOSe LopEz</t>
  </si>
  <si>
    <t>Erika Jackson</t>
  </si>
  <si>
    <t>Miles, and Weaver Hudson</t>
  </si>
  <si>
    <t>kEVIn SiMmoNs Jr.</t>
  </si>
  <si>
    <t>Amanda Garcia</t>
  </si>
  <si>
    <t>Evans Ltd</t>
  </si>
  <si>
    <t>DuANe HaneY</t>
  </si>
  <si>
    <t>Raven Wong</t>
  </si>
  <si>
    <t>Sons and Schaefer</t>
  </si>
  <si>
    <t>JONathAn yaTeS</t>
  </si>
  <si>
    <t>Cynthia Scott</t>
  </si>
  <si>
    <t>Sons Hodges and</t>
  </si>
  <si>
    <t>johN THoMaS</t>
  </si>
  <si>
    <t>Mark Padilla</t>
  </si>
  <si>
    <t>Simpson-Mccall</t>
  </si>
  <si>
    <t>AdriaN BuckLEY</t>
  </si>
  <si>
    <t>Julie Ramirez</t>
  </si>
  <si>
    <t>Lin Thompson Wells, and</t>
  </si>
  <si>
    <t>apRil SANTIAgO</t>
  </si>
  <si>
    <t>Jacob Rich</t>
  </si>
  <si>
    <t>Jones-Scott</t>
  </si>
  <si>
    <t>DIane scHultz</t>
  </si>
  <si>
    <t>Mark Hartman Jr.</t>
  </si>
  <si>
    <t>Howe-Kelly</t>
  </si>
  <si>
    <t>tiMOThY myers</t>
  </si>
  <si>
    <t>Timothy Baker</t>
  </si>
  <si>
    <t>and Sons Reyes</t>
  </si>
  <si>
    <t>NICOLE HUGhes</t>
  </si>
  <si>
    <t>Lori Sanchez</t>
  </si>
  <si>
    <t>Shaw-Young</t>
  </si>
  <si>
    <t>ChAd MorEnO</t>
  </si>
  <si>
    <t>Connie Boyd</t>
  </si>
  <si>
    <t>Inc Skinner</t>
  </si>
  <si>
    <t>SeaN jenniNGs</t>
  </si>
  <si>
    <t>James Tucker</t>
  </si>
  <si>
    <t>Clark-Johnson</t>
  </si>
  <si>
    <t>DIAnE brAnch</t>
  </si>
  <si>
    <t>Juan Acevedo</t>
  </si>
  <si>
    <t>Perez and Sons</t>
  </si>
  <si>
    <t>cindY OROzco</t>
  </si>
  <si>
    <t>Julie Finley</t>
  </si>
  <si>
    <t>Kemp LLC</t>
  </si>
  <si>
    <t>pAtriCIa MEdinA</t>
  </si>
  <si>
    <t>Miguel Parker</t>
  </si>
  <si>
    <t>LLC Dixon</t>
  </si>
  <si>
    <t>kayLa padillA</t>
  </si>
  <si>
    <t>Jermaine Peters</t>
  </si>
  <si>
    <t>and Morales Jennings Cook,</t>
  </si>
  <si>
    <t>JUan klEiN</t>
  </si>
  <si>
    <t>Lisa Edwards</t>
  </si>
  <si>
    <t>Group Hood</t>
  </si>
  <si>
    <t>wILLIAM hIlL</t>
  </si>
  <si>
    <t>Matthew Walker</t>
  </si>
  <si>
    <t>Lindsey Inc</t>
  </si>
  <si>
    <t>CARL BEst</t>
  </si>
  <si>
    <t>Gregory Hansen</t>
  </si>
  <si>
    <t>Ltd Wang</t>
  </si>
  <si>
    <t>TInA GriFfin</t>
  </si>
  <si>
    <t>Jessica Cruz</t>
  </si>
  <si>
    <t>Inc Ford</t>
  </si>
  <si>
    <t>MR. TYler TAYLOR Phd</t>
  </si>
  <si>
    <t>Robert Salazar</t>
  </si>
  <si>
    <t>Dean-Hawkins</t>
  </si>
  <si>
    <t>TAyLoR howeLl Dds</t>
  </si>
  <si>
    <t>Kyle Patterson</t>
  </si>
  <si>
    <t>Walter PLC</t>
  </si>
  <si>
    <t>mIcHAeL MaRTIn</t>
  </si>
  <si>
    <t>John Summers</t>
  </si>
  <si>
    <t>Sons Horn and</t>
  </si>
  <si>
    <t>heatHER mIller</t>
  </si>
  <si>
    <t>Scott Grant</t>
  </si>
  <si>
    <t>Powell Ward, and Mercado</t>
  </si>
  <si>
    <t>cathERinE gArDnEr</t>
  </si>
  <si>
    <t>David Ruiz</t>
  </si>
  <si>
    <t>James Ltd</t>
  </si>
  <si>
    <t>ANNE THOMPSoN</t>
  </si>
  <si>
    <t>Kyle Smith</t>
  </si>
  <si>
    <t>Kemp-Munoz</t>
  </si>
  <si>
    <t>TOdd coopeR</t>
  </si>
  <si>
    <t>Jason Price</t>
  </si>
  <si>
    <t>Henderson-Taylor</t>
  </si>
  <si>
    <t>PhILLIP lyOnS</t>
  </si>
  <si>
    <t>Stephanie Clements</t>
  </si>
  <si>
    <t>Parsons, Hartman Martinez and</t>
  </si>
  <si>
    <t>MaRk foRD</t>
  </si>
  <si>
    <t>Steven James</t>
  </si>
  <si>
    <t>Luna Inc</t>
  </si>
  <si>
    <t>mARcUS ZAmorA</t>
  </si>
  <si>
    <t>Jeremiah Wolf</t>
  </si>
  <si>
    <t>Hernandez, Ritter and Huffman</t>
  </si>
  <si>
    <t>KaTiE hENry</t>
  </si>
  <si>
    <t>Roberto Petersen</t>
  </si>
  <si>
    <t>Reed LLC</t>
  </si>
  <si>
    <t>wilLIAm morTON</t>
  </si>
  <si>
    <t>Christina Hammond</t>
  </si>
  <si>
    <t>Thompson-Walker</t>
  </si>
  <si>
    <t>KaTRina maRTin</t>
  </si>
  <si>
    <t>Patricia Colon</t>
  </si>
  <si>
    <t>Group Nguyen</t>
  </si>
  <si>
    <t>HunTeR mckAy</t>
  </si>
  <si>
    <t>Dominic Mitchell</t>
  </si>
  <si>
    <t>Newton-White</t>
  </si>
  <si>
    <t>dWAYnE DAViS</t>
  </si>
  <si>
    <t>Wendy Davis</t>
  </si>
  <si>
    <t>Ltd Thomas</t>
  </si>
  <si>
    <t>sARAH CalDweLL</t>
  </si>
  <si>
    <t>Daniel Carson</t>
  </si>
  <si>
    <t>Pierce Ward, Torres and</t>
  </si>
  <si>
    <t>DAVid higgInS</t>
  </si>
  <si>
    <t>Erin Henderson MD</t>
  </si>
  <si>
    <t>Evans and Hall Schneider,</t>
  </si>
  <si>
    <t>bRADlEY coMbS</t>
  </si>
  <si>
    <t>Christopher Butler</t>
  </si>
  <si>
    <t>Stout-Brown</t>
  </si>
  <si>
    <t>chrisTiNa SChMitt</t>
  </si>
  <si>
    <t>Samuel Robles</t>
  </si>
  <si>
    <t>Cruz Ltd</t>
  </si>
  <si>
    <t>coLtoN stRONg</t>
  </si>
  <si>
    <t>Benjamin Webb</t>
  </si>
  <si>
    <t>Stewart Sons and</t>
  </si>
  <si>
    <t>MARK priCE</t>
  </si>
  <si>
    <t>Krystal Fox</t>
  </si>
  <si>
    <t>Hall Roberts and Duarte,</t>
  </si>
  <si>
    <t>sUZaNnE SchNeIder</t>
  </si>
  <si>
    <t>Bruce Garrett</t>
  </si>
  <si>
    <t>Ramirez-Robinson</t>
  </si>
  <si>
    <t>MIchaEL HUrLEY</t>
  </si>
  <si>
    <t>Jonathan Watson</t>
  </si>
  <si>
    <t>Garcia, and Bishop Hernandez</t>
  </si>
  <si>
    <t>LIndsEy laMbErt</t>
  </si>
  <si>
    <t>Christopher Guerra</t>
  </si>
  <si>
    <t>and Brown Oneal, Shah</t>
  </si>
  <si>
    <t>reBEcCA PARsONs</t>
  </si>
  <si>
    <t>Steven Adams</t>
  </si>
  <si>
    <t>Group White</t>
  </si>
  <si>
    <t>jUdy joHNsoN</t>
  </si>
  <si>
    <t>Victoria Patel</t>
  </si>
  <si>
    <t>Hughes and Erickson, Anderson</t>
  </si>
  <si>
    <t>TOnyA caMpbell</t>
  </si>
  <si>
    <t>Louis Bell</t>
  </si>
  <si>
    <t>Lane-Kelly</t>
  </si>
  <si>
    <t>JAMEs Ross</t>
  </si>
  <si>
    <t>Michael Baker</t>
  </si>
  <si>
    <t>Cox-Hester</t>
  </si>
  <si>
    <t>SaRA COOk</t>
  </si>
  <si>
    <t>Douglas Fleming</t>
  </si>
  <si>
    <t>Jarvis Scott, Fleming and</t>
  </si>
  <si>
    <t>annE howeLl</t>
  </si>
  <si>
    <t>Patrick Carter</t>
  </si>
  <si>
    <t>Cline-Carpenter</t>
  </si>
  <si>
    <t>RENEE bAilEY</t>
  </si>
  <si>
    <t>Sarah Shaffer</t>
  </si>
  <si>
    <t>Johnson, and Ross Harris</t>
  </si>
  <si>
    <t>Jeffrey tuRNER</t>
  </si>
  <si>
    <t>Matthew Carter</t>
  </si>
  <si>
    <t>Kim Rosario, and Hammond</t>
  </si>
  <si>
    <t>DR. LaUreN ClaRk DDs</t>
  </si>
  <si>
    <t>Brian Wagner</t>
  </si>
  <si>
    <t>PLC Jimenez</t>
  </si>
  <si>
    <t>terRY THoMaS</t>
  </si>
  <si>
    <t>Lucas Cole</t>
  </si>
  <si>
    <t>Cantu-Berry</t>
  </si>
  <si>
    <t>JasOn baKEr</t>
  </si>
  <si>
    <t>Julia Yoder</t>
  </si>
  <si>
    <t>Wright-Alexander</t>
  </si>
  <si>
    <t>JEssicA gUtiERrEz</t>
  </si>
  <si>
    <t>Crystal Chavez</t>
  </si>
  <si>
    <t>Guzman-Carlson</t>
  </si>
  <si>
    <t>COURTNey HOdGes</t>
  </si>
  <si>
    <t>Brenda Lopez</t>
  </si>
  <si>
    <t>Meyer-Hill</t>
  </si>
  <si>
    <t>ANthONy reYEs</t>
  </si>
  <si>
    <t>Michael Cole</t>
  </si>
  <si>
    <t>Dudley-Atkinson</t>
  </si>
  <si>
    <t>LeaH cRoSs Dds</t>
  </si>
  <si>
    <t>Michael Larson</t>
  </si>
  <si>
    <t>Kelly-Allen</t>
  </si>
  <si>
    <t>PaUL MaRTinEz</t>
  </si>
  <si>
    <t>Tracey Spence</t>
  </si>
  <si>
    <t>Lewis Livingston, Lowe and</t>
  </si>
  <si>
    <t>DenisE rOdRIGuEZ</t>
  </si>
  <si>
    <t>Susan Gibson</t>
  </si>
  <si>
    <t>Rodriguez Ltd</t>
  </si>
  <si>
    <t>ashLEy ERIcKSoN</t>
  </si>
  <si>
    <t>Gerald Hooper</t>
  </si>
  <si>
    <t>and Johnson Moore, Branch</t>
  </si>
  <si>
    <t>SEaN carDenaS</t>
  </si>
  <si>
    <t>Todd Sanchez</t>
  </si>
  <si>
    <t>Holmes and Hughes, Phillips</t>
  </si>
  <si>
    <t>aLaN AlVaREz</t>
  </si>
  <si>
    <t>Elizabeth Morales</t>
  </si>
  <si>
    <t>and Smith, Tucker Cross</t>
  </si>
  <si>
    <t>JeSsICA phiLliPS</t>
  </si>
  <si>
    <t>Kimberly Petersen</t>
  </si>
  <si>
    <t>Sons and Lozano</t>
  </si>
  <si>
    <t>tiMOthY CoLemaN</t>
  </si>
  <si>
    <t>Misty Garcia</t>
  </si>
  <si>
    <t>Russell Ltd</t>
  </si>
  <si>
    <t>cHristina wooDS</t>
  </si>
  <si>
    <t>Melissa Fernandez</t>
  </si>
  <si>
    <t>Jones Ltd</t>
  </si>
  <si>
    <t>mELIssa sCOtt</t>
  </si>
  <si>
    <t>Kari Moore</t>
  </si>
  <si>
    <t>Gordon-Ward</t>
  </si>
  <si>
    <t>GaRy hoPkiNS</t>
  </si>
  <si>
    <t>David Hubbard</t>
  </si>
  <si>
    <t>Barnes and Sons</t>
  </si>
  <si>
    <t>aPRIL VAleNCIA</t>
  </si>
  <si>
    <t>Lonnie Morgan</t>
  </si>
  <si>
    <t>Levine-Miller</t>
  </si>
  <si>
    <t>riTA archER</t>
  </si>
  <si>
    <t>Victoria Gonzales</t>
  </si>
  <si>
    <t>and Marquez Silva Smith,</t>
  </si>
  <si>
    <t>kIm PenA</t>
  </si>
  <si>
    <t>Cindy White</t>
  </si>
  <si>
    <t>Jackson-Copeland</t>
  </si>
  <si>
    <t>jaSoN FOlEy</t>
  </si>
  <si>
    <t>Douglas Li</t>
  </si>
  <si>
    <t>Perez and Ochoa White,</t>
  </si>
  <si>
    <t>ShAUN GuzmAn</t>
  </si>
  <si>
    <t>Lori Mendoza</t>
  </si>
  <si>
    <t>Ltd Conrad</t>
  </si>
  <si>
    <t>MATTHeW wHite</t>
  </si>
  <si>
    <t>Ryan Ross</t>
  </si>
  <si>
    <t>Hampton-Thomas</t>
  </si>
  <si>
    <t>aLExiS wilsOn</t>
  </si>
  <si>
    <t>Brian Walton</t>
  </si>
  <si>
    <t>Thomas-Kelley</t>
  </si>
  <si>
    <t>JaCQueLiNE maRshAll</t>
  </si>
  <si>
    <t>Michael Berg</t>
  </si>
  <si>
    <t>Myers-Monroe</t>
  </si>
  <si>
    <t>RoBErt hIGGInS</t>
  </si>
  <si>
    <t>Scott Davis</t>
  </si>
  <si>
    <t>and Ford Lee, Rodriguez</t>
  </si>
  <si>
    <t>SierRa MoRTON</t>
  </si>
  <si>
    <t>Daniel Shelton</t>
  </si>
  <si>
    <t>Sons Garcia and</t>
  </si>
  <si>
    <t>nATAliE sTANtoN</t>
  </si>
  <si>
    <t>Tara Moreno</t>
  </si>
  <si>
    <t>Perry Little, and Moore</t>
  </si>
  <si>
    <t>jEssica aceveDo</t>
  </si>
  <si>
    <t>Kristie Morgan</t>
  </si>
  <si>
    <t>Anderson Group</t>
  </si>
  <si>
    <t>JENnIfEr mCmillan</t>
  </si>
  <si>
    <t>Joseph Jones</t>
  </si>
  <si>
    <t>Rodriguez and Sons</t>
  </si>
  <si>
    <t>ChRISTopher mccLAiN</t>
  </si>
  <si>
    <t>Maria Tran</t>
  </si>
  <si>
    <t>Thomas-Huber</t>
  </si>
  <si>
    <t>kevIn HiCKs</t>
  </si>
  <si>
    <t>Kelly Murphy</t>
  </si>
  <si>
    <t>Robinson Inc</t>
  </si>
  <si>
    <t>MELIndA richARds</t>
  </si>
  <si>
    <t>Katherine Brown</t>
  </si>
  <si>
    <t>Wood-Mathews</t>
  </si>
  <si>
    <t>roBYn miRaNDa</t>
  </si>
  <si>
    <t>Elizabeth Frank</t>
  </si>
  <si>
    <t>Walker and Gardner Fernandez,</t>
  </si>
  <si>
    <t>scoTt caSTillO</t>
  </si>
  <si>
    <t>Alyssa Edwards</t>
  </si>
  <si>
    <t>Smith and Johnston, Collins</t>
  </si>
  <si>
    <t>jOHN GarciA</t>
  </si>
  <si>
    <t>Jesse Thomas</t>
  </si>
  <si>
    <t>Sons Miller and</t>
  </si>
  <si>
    <t>miCHAeL TayloR</t>
  </si>
  <si>
    <t>Erica Mccormick</t>
  </si>
  <si>
    <t>Donaldson-Frey</t>
  </si>
  <si>
    <t>jeFfReY WoOd</t>
  </si>
  <si>
    <t>Amber Holmes</t>
  </si>
  <si>
    <t>Brown-Yoder</t>
  </si>
  <si>
    <t>MiCHAEl smIth</t>
  </si>
  <si>
    <t>Austin Jackson</t>
  </si>
  <si>
    <t>Morgan Rios and Keller,</t>
  </si>
  <si>
    <t>wiLLiam grIFfItH</t>
  </si>
  <si>
    <t>Shane Morris</t>
  </si>
  <si>
    <t>Gonzalez-King</t>
  </si>
  <si>
    <t>CHrISTiNa lAwReNCe</t>
  </si>
  <si>
    <t>Brent Smith</t>
  </si>
  <si>
    <t>Wagner Ltd</t>
  </si>
  <si>
    <t>jeSsiCA HolmeS</t>
  </si>
  <si>
    <t>Kayla Davis</t>
  </si>
  <si>
    <t>and Brown White, Jones</t>
  </si>
  <si>
    <t>traCEY grEenE</t>
  </si>
  <si>
    <t>Rose Zuniga</t>
  </si>
  <si>
    <t>James-Smith</t>
  </si>
  <si>
    <t>aMAnda lOpeZ</t>
  </si>
  <si>
    <t>Ethan Wagner</t>
  </si>
  <si>
    <t>Hanson Group</t>
  </si>
  <si>
    <t>LaurA pEtErS</t>
  </si>
  <si>
    <t>Phillip Williams</t>
  </si>
  <si>
    <t>Mcclain-Reed</t>
  </si>
  <si>
    <t>LAUrEn ANDErSOn</t>
  </si>
  <si>
    <t>Maureen Hill</t>
  </si>
  <si>
    <t>Young-Smith</t>
  </si>
  <si>
    <t>wILliAm CAmpos</t>
  </si>
  <si>
    <t>Heidi Compton MD</t>
  </si>
  <si>
    <t>Hart-Brock</t>
  </si>
  <si>
    <t>jEssiCa GoNzAleS</t>
  </si>
  <si>
    <t>Kimberly Gonzalez</t>
  </si>
  <si>
    <t>Jones and Jones, Turner</t>
  </si>
  <si>
    <t>brUcE gOnzaleS</t>
  </si>
  <si>
    <t>Rebecca Morgan</t>
  </si>
  <si>
    <t>Spears-Shah</t>
  </si>
  <si>
    <t>rOBert WAlsH</t>
  </si>
  <si>
    <t>Sabrina Rogers</t>
  </si>
  <si>
    <t>and Anderson Smith Sanchez,</t>
  </si>
  <si>
    <t>lIsA LeWis</t>
  </si>
  <si>
    <t>Kevin Brown</t>
  </si>
  <si>
    <t>Tran, and Ferrell Garcia</t>
  </si>
  <si>
    <t>WiLlIaM RUiZ</t>
  </si>
  <si>
    <t>Sarah Cole</t>
  </si>
  <si>
    <t>Ltd Walton</t>
  </si>
  <si>
    <t>StEven BALdWIn</t>
  </si>
  <si>
    <t>Jennifer Hall</t>
  </si>
  <si>
    <t>Group Rodriguez</t>
  </si>
  <si>
    <t>meGAn CoLON</t>
  </si>
  <si>
    <t>Emily Cruz</t>
  </si>
  <si>
    <t>Carr LLC</t>
  </si>
  <si>
    <t>kImbErlY brOoks</t>
  </si>
  <si>
    <t>Michael Anderson</t>
  </si>
  <si>
    <t>Rodriguez-Guerra</t>
  </si>
  <si>
    <t>EdWARd SMiTh jR.</t>
  </si>
  <si>
    <t>Natalie Sellers</t>
  </si>
  <si>
    <t>Sullivan Mullins, Macias and</t>
  </si>
  <si>
    <t>aLliSoN CorDoVA</t>
  </si>
  <si>
    <t>Patrick Ochoa</t>
  </si>
  <si>
    <t>Ballard PLC</t>
  </si>
  <si>
    <t>lINdA THOMAs</t>
  </si>
  <si>
    <t>Daniel Rodgers</t>
  </si>
  <si>
    <t>Liu-Wilson</t>
  </si>
  <si>
    <t>paRkEr moOrE</t>
  </si>
  <si>
    <t>Taylor Baldwin</t>
  </si>
  <si>
    <t>LLC Lewis</t>
  </si>
  <si>
    <t>tanya SOto</t>
  </si>
  <si>
    <t>Adam Ross</t>
  </si>
  <si>
    <t>Stokes Chambers and Martin,</t>
  </si>
  <si>
    <t>mIChaEL jOrdaN</t>
  </si>
  <si>
    <t>Amy Williams</t>
  </si>
  <si>
    <t>Hernandez-Green</t>
  </si>
  <si>
    <t>ChRiSTINA MArTin</t>
  </si>
  <si>
    <t>Martha Graham</t>
  </si>
  <si>
    <t>Inc Lee</t>
  </si>
  <si>
    <t>TrACy BUrke</t>
  </si>
  <si>
    <t>Emily Thomas</t>
  </si>
  <si>
    <t>Wilkins Group</t>
  </si>
  <si>
    <t>daVID SPeNCE</t>
  </si>
  <si>
    <t>Terrance Rosales</t>
  </si>
  <si>
    <t>Valentine Ltd</t>
  </si>
  <si>
    <t>JOsEph fOstER</t>
  </si>
  <si>
    <t>Daniel Smith</t>
  </si>
  <si>
    <t>Alvarado-Deleon</t>
  </si>
  <si>
    <t>NIcholAs haLl</t>
  </si>
  <si>
    <t>Marissa Stevenson</t>
  </si>
  <si>
    <t>Alexander and Jensen Andrews,</t>
  </si>
  <si>
    <t>ChriSTiNA maCiAS</t>
  </si>
  <si>
    <t>Katie Fitzpatrick</t>
  </si>
  <si>
    <t>and Black, Henson Rhodes</t>
  </si>
  <si>
    <t>scoTT JoNes</t>
  </si>
  <si>
    <t>Dennis Small</t>
  </si>
  <si>
    <t>Sons and Marshall</t>
  </si>
  <si>
    <t>jaMEs AnDerSon</t>
  </si>
  <si>
    <t>Chris Holt</t>
  </si>
  <si>
    <t>Rodriguez-Franco</t>
  </si>
  <si>
    <t>sHaUN LonG</t>
  </si>
  <si>
    <t>Jenny Griffith</t>
  </si>
  <si>
    <t>Fritz Henderson Stanton, and</t>
  </si>
  <si>
    <t>krIStInA morA</t>
  </si>
  <si>
    <t>Gregory Lambert</t>
  </si>
  <si>
    <t>West-Young</t>
  </si>
  <si>
    <t>joshUa rIcHmOnd</t>
  </si>
  <si>
    <t>Michael Armstrong</t>
  </si>
  <si>
    <t>Ltd Solis</t>
  </si>
  <si>
    <t>Mark lAWrencE</t>
  </si>
  <si>
    <t>Melissa Terry</t>
  </si>
  <si>
    <t>Mcneil-Blake</t>
  </si>
  <si>
    <t>JOhN eLlis</t>
  </si>
  <si>
    <t>Thomas Bruce</t>
  </si>
  <si>
    <t>Moore-Waters</t>
  </si>
  <si>
    <t>MRs. TiFFAny DeNnIs</t>
  </si>
  <si>
    <t>James James DVM</t>
  </si>
  <si>
    <t>Group Scott</t>
  </si>
  <si>
    <t>cyNTHIa HuANG</t>
  </si>
  <si>
    <t>Sean Smith</t>
  </si>
  <si>
    <t>and Simmons Sons</t>
  </si>
  <si>
    <t>Row Labels</t>
  </si>
  <si>
    <t>Grand Total</t>
  </si>
  <si>
    <t>Count of Name</t>
  </si>
  <si>
    <t>Sum of Billing Amount</t>
  </si>
  <si>
    <t>Column Labels</t>
  </si>
  <si>
    <t>2019</t>
  </si>
  <si>
    <t>2020</t>
  </si>
  <si>
    <t>2021</t>
  </si>
  <si>
    <t>2022</t>
  </si>
  <si>
    <t>2023</t>
  </si>
  <si>
    <t>2024</t>
  </si>
  <si>
    <t>(blank)</t>
  </si>
  <si>
    <t>&lt;31-05-2019</t>
  </si>
  <si>
    <t>Count of Test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</si>
</sst>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Medication by Test results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Table'!$I$4:$I$9</c:f>
              <c:strCache>
                <c:ptCount val="5"/>
                <c:pt idx="0">
                  <c:v>Aspirin</c:v>
                </c:pt>
                <c:pt idx="1">
                  <c:v>Ibuprofen</c:v>
                </c:pt>
                <c:pt idx="2">
                  <c:v>Lipitor</c:v>
                </c:pt>
                <c:pt idx="3">
                  <c:v>Paracetamol</c:v>
                </c:pt>
                <c:pt idx="4">
                  <c:v>Penicillin</c:v>
                </c:pt>
              </c:strCache>
            </c:strRef>
          </c:cat>
          <c:val>
            <c:numRef>
              <c:f>'Pivot Table'!$J$4:$J$9</c:f>
              <c:numCache>
                <c:formatCode>General</c:formatCode>
                <c:ptCount val="5"/>
                <c:pt idx="0">
                  <c:v>34</c:v>
                </c:pt>
                <c:pt idx="1">
                  <c:v>49</c:v>
                </c:pt>
                <c:pt idx="2">
                  <c:v>34</c:v>
                </c:pt>
                <c:pt idx="3">
                  <c:v>40</c:v>
                </c:pt>
                <c:pt idx="4">
                  <c:v>42</c:v>
                </c:pt>
              </c:numCache>
            </c:numRef>
          </c:val>
          <c:extLst>
            <c:ext xmlns:c16="http://schemas.microsoft.com/office/drawing/2014/chart" uri="{C3380CC4-5D6E-409C-BE32-E72D297353CC}">
              <c16:uniqueId val="{00000011-BBFA-4280-884B-757B9E41BC7E}"/>
            </c:ext>
          </c:extLst>
        </c:ser>
        <c:dLbls>
          <c:showLegendKey val="0"/>
          <c:showVal val="0"/>
          <c:showCatName val="0"/>
          <c:showSerName val="0"/>
          <c:showPercent val="0"/>
          <c:showBubbleSize val="0"/>
        </c:dLbls>
        <c:gapWidth val="150"/>
        <c:axId val="1612942368"/>
        <c:axId val="1612942848"/>
      </c:barChart>
      <c:catAx>
        <c:axId val="1612942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2942848"/>
        <c:crosses val="autoZero"/>
        <c:auto val="1"/>
        <c:lblAlgn val="ctr"/>
        <c:lblOffset val="100"/>
        <c:noMultiLvlLbl val="0"/>
      </c:catAx>
      <c:valAx>
        <c:axId val="1612942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294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Patients by Gender</a:t>
            </a:r>
            <a:endParaRPr lang="en-US">
              <a:latin typeface="Times New Roman" panose="02020603050405020304" pitchFamily="18" charset="0"/>
              <a:cs typeface="Times New Roman" panose="02020603050405020304" pitchFamily="18" charset="0"/>
            </a:endParaRPr>
          </a:p>
        </c:rich>
      </c:tx>
      <c:layout>
        <c:manualLayout>
          <c:xMode val="edge"/>
          <c:yMode val="edge"/>
          <c:x val="0.24884130982367758"/>
          <c:y val="7.47964408036439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15A-42B3-9816-9D06583CF2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15A-42B3-9816-9D06583CF29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15A-42B3-9816-9D06583CF2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Table'!$A$4:$A$7</c:f>
              <c:strCache>
                <c:ptCount val="3"/>
                <c:pt idx="0">
                  <c:v>Female</c:v>
                </c:pt>
                <c:pt idx="1">
                  <c:v>Male</c:v>
                </c:pt>
                <c:pt idx="2">
                  <c:v>(blank)</c:v>
                </c:pt>
              </c:strCache>
            </c:strRef>
          </c:cat>
          <c:val>
            <c:numRef>
              <c:f>'Pivot Table'!$B$4:$B$7</c:f>
              <c:numCache>
                <c:formatCode>General</c:formatCode>
                <c:ptCount val="3"/>
                <c:pt idx="0">
                  <c:v>102</c:v>
                </c:pt>
                <c:pt idx="1">
                  <c:v>97</c:v>
                </c:pt>
              </c:numCache>
            </c:numRef>
          </c:val>
          <c:extLst>
            <c:ext xmlns:c16="http://schemas.microsoft.com/office/drawing/2014/chart" uri="{C3380CC4-5D6E-409C-BE32-E72D297353CC}">
              <c16:uniqueId val="{00000006-815A-42B3-9816-9D06583CF29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Patients by Blood Group</a:t>
            </a:r>
            <a:endParaRPr lang="en-US">
              <a:latin typeface="Times New Roman" panose="02020603050405020304" pitchFamily="18" charset="0"/>
              <a:cs typeface="Times New Roman" panose="02020603050405020304" pitchFamily="18" charset="0"/>
            </a:endParaRPr>
          </a:p>
        </c:rich>
      </c:tx>
      <c:layout>
        <c:manualLayout>
          <c:xMode val="edge"/>
          <c:yMode val="edge"/>
          <c:x val="0.24089551844843524"/>
          <c:y val="3.05249829439354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Table'!$P$19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C24-4D0C-B2CB-DFA803ACB0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C24-4D0C-B2CB-DFA803ACB0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C24-4D0C-B2CB-DFA803ACB0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C24-4D0C-B2CB-DFA803ACB0C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EC24-4D0C-B2CB-DFA803ACB0C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EC24-4D0C-B2CB-DFA803ACB0C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EC24-4D0C-B2CB-DFA803ACB0C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EC24-4D0C-B2CB-DFA803ACB0C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EC24-4D0C-B2CB-DFA803ACB0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Table'!$O$20:$O$28</c:f>
              <c:strCache>
                <c:ptCount val="8"/>
                <c:pt idx="0">
                  <c:v>A-</c:v>
                </c:pt>
                <c:pt idx="1">
                  <c:v>A+</c:v>
                </c:pt>
                <c:pt idx="2">
                  <c:v>AB-</c:v>
                </c:pt>
                <c:pt idx="3">
                  <c:v>AB+</c:v>
                </c:pt>
                <c:pt idx="4">
                  <c:v>B-</c:v>
                </c:pt>
                <c:pt idx="5">
                  <c:v>B+</c:v>
                </c:pt>
                <c:pt idx="6">
                  <c:v>O-</c:v>
                </c:pt>
                <c:pt idx="7">
                  <c:v>O+</c:v>
                </c:pt>
              </c:strCache>
            </c:strRef>
          </c:cat>
          <c:val>
            <c:numRef>
              <c:f>'Pivot Table'!$P$20:$P$28</c:f>
              <c:numCache>
                <c:formatCode>General</c:formatCode>
                <c:ptCount val="8"/>
                <c:pt idx="0">
                  <c:v>26</c:v>
                </c:pt>
                <c:pt idx="1">
                  <c:v>28</c:v>
                </c:pt>
                <c:pt idx="2">
                  <c:v>27</c:v>
                </c:pt>
                <c:pt idx="3">
                  <c:v>26</c:v>
                </c:pt>
                <c:pt idx="4">
                  <c:v>22</c:v>
                </c:pt>
                <c:pt idx="5">
                  <c:v>25</c:v>
                </c:pt>
                <c:pt idx="6">
                  <c:v>18</c:v>
                </c:pt>
                <c:pt idx="7">
                  <c:v>27</c:v>
                </c:pt>
              </c:numCache>
            </c:numRef>
          </c:val>
          <c:extLst>
            <c:ext xmlns:c16="http://schemas.microsoft.com/office/drawing/2014/chart" uri="{C3380CC4-5D6E-409C-BE32-E72D297353CC}">
              <c16:uniqueId val="{00000012-EC24-4D0C-B2CB-DFA803ACB0C8}"/>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Patient</a:t>
            </a:r>
            <a:r>
              <a:rPr lang="en-US" baseline="0">
                <a:latin typeface="Times New Roman" panose="02020603050405020304" pitchFamily="18" charset="0"/>
                <a:cs typeface="Times New Roman" panose="02020603050405020304" pitchFamily="18" charset="0"/>
              </a:rPr>
              <a:t> by Medical Condition</a:t>
            </a:r>
            <a:endParaRPr lang="en-US">
              <a:latin typeface="Times New Roman" panose="02020603050405020304" pitchFamily="18" charset="0"/>
              <a:cs typeface="Times New Roman" panose="02020603050405020304" pitchFamily="18" charset="0"/>
            </a:endParaRPr>
          </a:p>
        </c:rich>
      </c:tx>
      <c:layout>
        <c:manualLayout>
          <c:xMode val="edge"/>
          <c:yMode val="edge"/>
          <c:x val="0.15469985470077596"/>
          <c:y val="2.609603340292275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835365122506896E-2"/>
          <c:y val="0.15933609958506223"/>
          <c:w val="0.91124585315160478"/>
          <c:h val="0.57571829973535471"/>
        </c:manualLayout>
      </c:layout>
      <c:bar3DChart>
        <c:barDir val="col"/>
        <c:grouping val="clustered"/>
        <c:varyColors val="0"/>
        <c:ser>
          <c:idx val="0"/>
          <c:order val="0"/>
          <c:tx>
            <c:strRef>
              <c:f>'Pivot Table'!$C$23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Table'!$B$24:$B$30</c:f>
              <c:strCache>
                <c:ptCount val="6"/>
                <c:pt idx="0">
                  <c:v>Arthritis</c:v>
                </c:pt>
                <c:pt idx="1">
                  <c:v>Asthma</c:v>
                </c:pt>
                <c:pt idx="2">
                  <c:v>Cancer</c:v>
                </c:pt>
                <c:pt idx="3">
                  <c:v>Diabetes</c:v>
                </c:pt>
                <c:pt idx="4">
                  <c:v>Hypertension</c:v>
                </c:pt>
                <c:pt idx="5">
                  <c:v>Obesity</c:v>
                </c:pt>
              </c:strCache>
            </c:strRef>
          </c:cat>
          <c:val>
            <c:numRef>
              <c:f>'Pivot Table'!$C$24:$C$30</c:f>
              <c:numCache>
                <c:formatCode>General</c:formatCode>
                <c:ptCount val="6"/>
                <c:pt idx="0">
                  <c:v>24</c:v>
                </c:pt>
                <c:pt idx="1">
                  <c:v>35</c:v>
                </c:pt>
                <c:pt idx="2">
                  <c:v>35</c:v>
                </c:pt>
                <c:pt idx="3">
                  <c:v>40</c:v>
                </c:pt>
                <c:pt idx="4">
                  <c:v>36</c:v>
                </c:pt>
                <c:pt idx="5">
                  <c:v>29</c:v>
                </c:pt>
              </c:numCache>
            </c:numRef>
          </c:val>
          <c:extLst>
            <c:ext xmlns:c16="http://schemas.microsoft.com/office/drawing/2014/chart" uri="{C3380CC4-5D6E-409C-BE32-E72D297353CC}">
              <c16:uniqueId val="{00000000-FE21-4055-95BC-0ED7A7C32680}"/>
            </c:ext>
          </c:extLst>
        </c:ser>
        <c:dLbls>
          <c:showLegendKey val="0"/>
          <c:showVal val="1"/>
          <c:showCatName val="0"/>
          <c:showSerName val="0"/>
          <c:showPercent val="0"/>
          <c:showBubbleSize val="0"/>
        </c:dLbls>
        <c:gapWidth val="150"/>
        <c:shape val="box"/>
        <c:axId val="1738601375"/>
        <c:axId val="1738610015"/>
        <c:axId val="0"/>
      </c:bar3DChart>
      <c:catAx>
        <c:axId val="1738601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610015"/>
        <c:crosses val="autoZero"/>
        <c:auto val="1"/>
        <c:lblAlgn val="ctr"/>
        <c:lblOffset val="100"/>
        <c:noMultiLvlLbl val="0"/>
      </c:catAx>
      <c:valAx>
        <c:axId val="173861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6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1600" b="1" i="0" u="none" strike="noStrike" baseline="0">
                <a:effectLst>
                  <a:outerShdw blurRad="50800" dist="38100" dir="5400000" algn="t" rotWithShape="0">
                    <a:prstClr val="black">
                      <a:alpha val="40000"/>
                    </a:prstClr>
                  </a:outerShdw>
                </a:effectLst>
                <a:latin typeface="Times New Roman" panose="02020603050405020304" pitchFamily="18" charset="0"/>
                <a:cs typeface="Times New Roman" panose="02020603050405020304" pitchFamily="18" charset="0"/>
              </a:rPr>
              <a:t>Revenue by Hospital</a:t>
            </a:r>
            <a:endParaRPr lang="en-US">
              <a:latin typeface="Times New Roman" panose="02020603050405020304" pitchFamily="18" charset="0"/>
              <a:cs typeface="Times New Roman" panose="02020603050405020304" pitchFamily="18" charset="0"/>
            </a:endParaRPr>
          </a:p>
        </c:rich>
      </c:tx>
      <c:layout>
        <c:manualLayout>
          <c:xMode val="edge"/>
          <c:yMode val="edge"/>
          <c:x val="0.28070329479810113"/>
          <c:y val="4.08232309899754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Table'!$G$13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Table'!$F$14:$F$24</c:f>
              <c:strCache>
                <c:ptCount val="10"/>
                <c:pt idx="0">
                  <c:v>and Garcia Morris Cunningham,</c:v>
                </c:pt>
                <c:pt idx="1">
                  <c:v>and Marquez Silva Smith,</c:v>
                </c:pt>
                <c:pt idx="2">
                  <c:v>Bullock-Ramsey</c:v>
                </c:pt>
                <c:pt idx="3">
                  <c:v>Cantu-Berry</c:v>
                </c:pt>
                <c:pt idx="4">
                  <c:v>Gonzalez-King</c:v>
                </c:pt>
                <c:pt idx="5">
                  <c:v>James-Smith</c:v>
                </c:pt>
                <c:pt idx="6">
                  <c:v>Moss and Ferguson, Baker</c:v>
                </c:pt>
                <c:pt idx="7">
                  <c:v>PLC Jimenez</c:v>
                </c:pt>
                <c:pt idx="8">
                  <c:v>PLC Young</c:v>
                </c:pt>
                <c:pt idx="9">
                  <c:v>Sons Rich and</c:v>
                </c:pt>
              </c:strCache>
            </c:strRef>
          </c:cat>
          <c:val>
            <c:numRef>
              <c:f>'Pivot Table'!$G$14:$G$24</c:f>
              <c:numCache>
                <c:formatCode>General</c:formatCode>
                <c:ptCount val="10"/>
                <c:pt idx="0">
                  <c:v>48290.69341</c:v>
                </c:pt>
                <c:pt idx="1">
                  <c:v>48995.980589999999</c:v>
                </c:pt>
                <c:pt idx="2">
                  <c:v>49402.298369999997</c:v>
                </c:pt>
                <c:pt idx="3">
                  <c:v>48175.466119999997</c:v>
                </c:pt>
                <c:pt idx="4">
                  <c:v>49321.157630000002</c:v>
                </c:pt>
                <c:pt idx="5">
                  <c:v>50142.026949999999</c:v>
                </c:pt>
                <c:pt idx="6">
                  <c:v>48407.386290000002</c:v>
                </c:pt>
                <c:pt idx="7">
                  <c:v>49833.707719999999</c:v>
                </c:pt>
                <c:pt idx="8">
                  <c:v>49943.2785</c:v>
                </c:pt>
                <c:pt idx="9">
                  <c:v>50119.22279</c:v>
                </c:pt>
              </c:numCache>
            </c:numRef>
          </c:val>
          <c:extLst>
            <c:ext xmlns:c16="http://schemas.microsoft.com/office/drawing/2014/chart" uri="{C3380CC4-5D6E-409C-BE32-E72D297353CC}">
              <c16:uniqueId val="{00000000-864E-470D-84E9-72335EFA2E83}"/>
            </c:ext>
          </c:extLst>
        </c:ser>
        <c:dLbls>
          <c:showLegendKey val="0"/>
          <c:showVal val="1"/>
          <c:showCatName val="0"/>
          <c:showSerName val="0"/>
          <c:showPercent val="0"/>
          <c:showBubbleSize val="0"/>
        </c:dLbls>
        <c:gapWidth val="150"/>
        <c:shape val="box"/>
        <c:axId val="106308687"/>
        <c:axId val="106302927"/>
        <c:axId val="0"/>
      </c:bar3DChart>
      <c:catAx>
        <c:axId val="106308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02927"/>
        <c:crosses val="autoZero"/>
        <c:auto val="1"/>
        <c:lblAlgn val="ctr"/>
        <c:lblOffset val="100"/>
        <c:noMultiLvlLbl val="0"/>
      </c:catAx>
      <c:valAx>
        <c:axId val="106302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0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Table!PivotTable6</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060458391777508E-2"/>
          <c:y val="8.7943680830588483E-2"/>
          <c:w val="0.75605865307682807"/>
          <c:h val="0.88729492557382861"/>
        </c:manualLayout>
      </c:layout>
      <c:bar3DChart>
        <c:barDir val="col"/>
        <c:grouping val="clustered"/>
        <c:varyColors val="0"/>
        <c:ser>
          <c:idx val="0"/>
          <c:order val="0"/>
          <c:tx>
            <c:strRef>
              <c:f>'Pivot Table'!$H$37:$H$38</c:f>
              <c:strCache>
                <c:ptCount val="1"/>
                <c:pt idx="0">
                  <c:v>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Table'!$G$39</c:f>
              <c:strCache>
                <c:ptCount val="1"/>
                <c:pt idx="0">
                  <c:v>Total</c:v>
                </c:pt>
              </c:strCache>
            </c:strRef>
          </c:cat>
          <c:val>
            <c:numRef>
              <c:f>'Pivot Table'!$H$39</c:f>
              <c:numCache>
                <c:formatCode>General</c:formatCode>
                <c:ptCount val="1"/>
                <c:pt idx="0">
                  <c:v>22</c:v>
                </c:pt>
              </c:numCache>
            </c:numRef>
          </c:val>
          <c:extLst>
            <c:ext xmlns:c16="http://schemas.microsoft.com/office/drawing/2014/chart" uri="{C3380CC4-5D6E-409C-BE32-E72D297353CC}">
              <c16:uniqueId val="{00000000-4992-4B1F-8E61-9E23D3634B61}"/>
            </c:ext>
          </c:extLst>
        </c:ser>
        <c:ser>
          <c:idx val="1"/>
          <c:order val="1"/>
          <c:tx>
            <c:strRef>
              <c:f>'Pivot Table'!$I$37:$I$38</c:f>
              <c:strCache>
                <c:ptCount val="1"/>
                <c:pt idx="0">
                  <c:v>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Table'!$G$39</c:f>
              <c:strCache>
                <c:ptCount val="1"/>
                <c:pt idx="0">
                  <c:v>Total</c:v>
                </c:pt>
              </c:strCache>
            </c:strRef>
          </c:cat>
          <c:val>
            <c:numRef>
              <c:f>'Pivot Table'!$I$39</c:f>
              <c:numCache>
                <c:formatCode>General</c:formatCode>
                <c:ptCount val="1"/>
                <c:pt idx="0">
                  <c:v>42</c:v>
                </c:pt>
              </c:numCache>
            </c:numRef>
          </c:val>
          <c:extLst>
            <c:ext xmlns:c16="http://schemas.microsoft.com/office/drawing/2014/chart" uri="{C3380CC4-5D6E-409C-BE32-E72D297353CC}">
              <c16:uniqueId val="{00000016-BF88-4580-B310-32765A9EAE92}"/>
            </c:ext>
          </c:extLst>
        </c:ser>
        <c:ser>
          <c:idx val="2"/>
          <c:order val="2"/>
          <c:tx>
            <c:strRef>
              <c:f>'Pivot Table'!$J$37:$J$38</c:f>
              <c:strCache>
                <c:ptCount val="1"/>
                <c:pt idx="0">
                  <c:v>2021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Table'!$G$39</c:f>
              <c:strCache>
                <c:ptCount val="1"/>
                <c:pt idx="0">
                  <c:v>Total</c:v>
                </c:pt>
              </c:strCache>
            </c:strRef>
          </c:cat>
          <c:val>
            <c:numRef>
              <c:f>'Pivot Table'!$J$39</c:f>
              <c:numCache>
                <c:formatCode>General</c:formatCode>
                <c:ptCount val="1"/>
                <c:pt idx="0">
                  <c:v>48</c:v>
                </c:pt>
              </c:numCache>
            </c:numRef>
          </c:val>
          <c:extLst>
            <c:ext xmlns:c16="http://schemas.microsoft.com/office/drawing/2014/chart" uri="{C3380CC4-5D6E-409C-BE32-E72D297353CC}">
              <c16:uniqueId val="{00000017-BF88-4580-B310-32765A9EAE92}"/>
            </c:ext>
          </c:extLst>
        </c:ser>
        <c:ser>
          <c:idx val="3"/>
          <c:order val="3"/>
          <c:tx>
            <c:strRef>
              <c:f>'Pivot Table'!$K$37:$K$38</c:f>
              <c:strCache>
                <c:ptCount val="1"/>
                <c:pt idx="0">
                  <c:v>2022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Table'!$G$39</c:f>
              <c:strCache>
                <c:ptCount val="1"/>
                <c:pt idx="0">
                  <c:v>Total</c:v>
                </c:pt>
              </c:strCache>
            </c:strRef>
          </c:cat>
          <c:val>
            <c:numRef>
              <c:f>'Pivot Table'!$K$39</c:f>
              <c:numCache>
                <c:formatCode>General</c:formatCode>
                <c:ptCount val="1"/>
                <c:pt idx="0">
                  <c:v>39</c:v>
                </c:pt>
              </c:numCache>
            </c:numRef>
          </c:val>
          <c:extLst>
            <c:ext xmlns:c16="http://schemas.microsoft.com/office/drawing/2014/chart" uri="{C3380CC4-5D6E-409C-BE32-E72D297353CC}">
              <c16:uniqueId val="{00000018-BF88-4580-B310-32765A9EAE92}"/>
            </c:ext>
          </c:extLst>
        </c:ser>
        <c:ser>
          <c:idx val="4"/>
          <c:order val="4"/>
          <c:tx>
            <c:strRef>
              <c:f>'Pivot Table'!$L$37:$L$38</c:f>
              <c:strCache>
                <c:ptCount val="1"/>
                <c:pt idx="0">
                  <c:v>2023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Table'!$G$39</c:f>
              <c:strCache>
                <c:ptCount val="1"/>
                <c:pt idx="0">
                  <c:v>Total</c:v>
                </c:pt>
              </c:strCache>
            </c:strRef>
          </c:cat>
          <c:val>
            <c:numRef>
              <c:f>'Pivot Table'!$L$39</c:f>
              <c:numCache>
                <c:formatCode>General</c:formatCode>
                <c:ptCount val="1"/>
                <c:pt idx="0">
                  <c:v>34</c:v>
                </c:pt>
              </c:numCache>
            </c:numRef>
          </c:val>
          <c:extLst>
            <c:ext xmlns:c16="http://schemas.microsoft.com/office/drawing/2014/chart" uri="{C3380CC4-5D6E-409C-BE32-E72D297353CC}">
              <c16:uniqueId val="{00000019-BF88-4580-B310-32765A9EAE92}"/>
            </c:ext>
          </c:extLst>
        </c:ser>
        <c:ser>
          <c:idx val="5"/>
          <c:order val="5"/>
          <c:tx>
            <c:strRef>
              <c:f>'Pivot Table'!$M$37:$M$38</c:f>
              <c:strCache>
                <c:ptCount val="1"/>
                <c:pt idx="0">
                  <c:v>2024</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Table'!$G$39</c:f>
              <c:strCache>
                <c:ptCount val="1"/>
                <c:pt idx="0">
                  <c:v>Total</c:v>
                </c:pt>
              </c:strCache>
            </c:strRef>
          </c:cat>
          <c:val>
            <c:numRef>
              <c:f>'Pivot Table'!$M$39</c:f>
              <c:numCache>
                <c:formatCode>General</c:formatCode>
                <c:ptCount val="1"/>
                <c:pt idx="0">
                  <c:v>14</c:v>
                </c:pt>
              </c:numCache>
            </c:numRef>
          </c:val>
          <c:extLst>
            <c:ext xmlns:c16="http://schemas.microsoft.com/office/drawing/2014/chart" uri="{C3380CC4-5D6E-409C-BE32-E72D297353CC}">
              <c16:uniqueId val="{0000001A-BF88-4580-B310-32765A9EAE92}"/>
            </c:ext>
          </c:extLst>
        </c:ser>
        <c:dLbls>
          <c:showLegendKey val="0"/>
          <c:showVal val="1"/>
          <c:showCatName val="0"/>
          <c:showSerName val="0"/>
          <c:showPercent val="0"/>
          <c:showBubbleSize val="0"/>
        </c:dLbls>
        <c:gapWidth val="150"/>
        <c:shape val="box"/>
        <c:axId val="2083686352"/>
        <c:axId val="2083703152"/>
        <c:axId val="0"/>
      </c:bar3DChart>
      <c:catAx>
        <c:axId val="2083686352"/>
        <c:scaling>
          <c:orientation val="minMax"/>
        </c:scaling>
        <c:delete val="1"/>
        <c:axPos val="b"/>
        <c:numFmt formatCode="General" sourceLinked="1"/>
        <c:majorTickMark val="none"/>
        <c:minorTickMark val="none"/>
        <c:tickLblPos val="nextTo"/>
        <c:crossAx val="2083703152"/>
        <c:crosses val="autoZero"/>
        <c:auto val="1"/>
        <c:lblAlgn val="ctr"/>
        <c:lblOffset val="100"/>
        <c:noMultiLvlLbl val="0"/>
      </c:catAx>
      <c:valAx>
        <c:axId val="20837031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368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Average Billing by Insurance provider</a:t>
            </a:r>
          </a:p>
        </c:rich>
      </c:tx>
      <c:layout>
        <c:manualLayout>
          <c:xMode val="edge"/>
          <c:yMode val="edge"/>
          <c:x val="0.10844213809431878"/>
          <c:y val="6.025776871622843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Table'!$R$32:$R$37</c:f>
              <c:strCache>
                <c:ptCount val="5"/>
                <c:pt idx="0">
                  <c:v>Aetna</c:v>
                </c:pt>
                <c:pt idx="1">
                  <c:v>Blue Cross</c:v>
                </c:pt>
                <c:pt idx="2">
                  <c:v>Cigna</c:v>
                </c:pt>
                <c:pt idx="3">
                  <c:v>Medicare</c:v>
                </c:pt>
                <c:pt idx="4">
                  <c:v>UnitedHealthcare</c:v>
                </c:pt>
              </c:strCache>
            </c:strRef>
          </c:cat>
          <c:val>
            <c:numRef>
              <c:f>'Pivot Table'!$S$32:$S$37</c:f>
              <c:numCache>
                <c:formatCode>General</c:formatCode>
                <c:ptCount val="5"/>
                <c:pt idx="0">
                  <c:v>850739.1408373001</c:v>
                </c:pt>
                <c:pt idx="1">
                  <c:v>603985.89846654993</c:v>
                </c:pt>
                <c:pt idx="2">
                  <c:v>1216071.5456619998</c:v>
                </c:pt>
                <c:pt idx="3">
                  <c:v>1196619.0322600002</c:v>
                </c:pt>
                <c:pt idx="4">
                  <c:v>1053216.2888519999</c:v>
                </c:pt>
              </c:numCache>
            </c:numRef>
          </c:val>
          <c:extLst>
            <c:ext xmlns:c16="http://schemas.microsoft.com/office/drawing/2014/chart" uri="{C3380CC4-5D6E-409C-BE32-E72D297353CC}">
              <c16:uniqueId val="{00000000-2033-431B-AFA1-A0884D102D2A}"/>
            </c:ext>
          </c:extLst>
        </c:ser>
        <c:dLbls>
          <c:showLegendKey val="0"/>
          <c:showVal val="1"/>
          <c:showCatName val="0"/>
          <c:showSerName val="0"/>
          <c:showPercent val="0"/>
          <c:showBubbleSize val="0"/>
        </c:dLbls>
        <c:gapWidth val="150"/>
        <c:shape val="box"/>
        <c:axId val="95333120"/>
        <c:axId val="95339360"/>
        <c:axId val="0"/>
      </c:bar3DChart>
      <c:catAx>
        <c:axId val="95333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39360"/>
        <c:crosses val="autoZero"/>
        <c:auto val="1"/>
        <c:lblAlgn val="ctr"/>
        <c:lblOffset val="100"/>
        <c:noMultiLvlLbl val="0"/>
      </c:catAx>
      <c:valAx>
        <c:axId val="9533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33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Table!PivotTable10</c:name>
    <c:fmtId val="16"/>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u="none">
                <a:latin typeface="Times New Roman" panose="02020603050405020304" pitchFamily="18" charset="0"/>
                <a:cs typeface="Times New Roman" panose="02020603050405020304" pitchFamily="18" charset="0"/>
              </a:rPr>
              <a:t>Patient</a:t>
            </a:r>
            <a:r>
              <a:rPr lang="en-IN">
                <a:latin typeface="Times New Roman" panose="02020603050405020304" pitchFamily="18" charset="0"/>
                <a:cs typeface="Times New Roman" panose="02020603050405020304" pitchFamily="18" charset="0"/>
              </a:rPr>
              <a:t> Dicharge by Years</a:t>
            </a:r>
          </a:p>
        </c:rich>
      </c:tx>
      <c:layout>
        <c:manualLayout>
          <c:xMode val="edge"/>
          <c:yMode val="edge"/>
          <c:x val="0.31112767154105736"/>
          <c:y val="8.845399675235148E-2"/>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Table'!$X$216:$X$217</c:f>
              <c:strCache>
                <c:ptCount val="1"/>
                <c:pt idx="0">
                  <c:v>&lt;31-05-2019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Table'!$W$218</c:f>
              <c:strCache>
                <c:ptCount val="1"/>
                <c:pt idx="0">
                  <c:v>Total</c:v>
                </c:pt>
              </c:strCache>
            </c:strRef>
          </c:cat>
          <c:val>
            <c:numRef>
              <c:f>'Pivot Table'!$X$218</c:f>
              <c:numCache>
                <c:formatCode>General</c:formatCode>
                <c:ptCount val="1"/>
              </c:numCache>
            </c:numRef>
          </c:val>
          <c:extLst>
            <c:ext xmlns:c16="http://schemas.microsoft.com/office/drawing/2014/chart" uri="{C3380CC4-5D6E-409C-BE32-E72D297353CC}">
              <c16:uniqueId val="{00000000-23FE-4C4A-A41A-D57812C5835C}"/>
            </c:ext>
          </c:extLst>
        </c:ser>
        <c:ser>
          <c:idx val="1"/>
          <c:order val="1"/>
          <c:tx>
            <c:strRef>
              <c:f>'Pivot Table'!$Y$216:$Y$217</c:f>
              <c:strCache>
                <c:ptCount val="1"/>
                <c:pt idx="0">
                  <c:v>2019</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Table'!$W$218</c:f>
              <c:strCache>
                <c:ptCount val="1"/>
                <c:pt idx="0">
                  <c:v>Total</c:v>
                </c:pt>
              </c:strCache>
            </c:strRef>
          </c:cat>
          <c:val>
            <c:numRef>
              <c:f>'Pivot Table'!$Y$218</c:f>
              <c:numCache>
                <c:formatCode>General</c:formatCode>
                <c:ptCount val="1"/>
                <c:pt idx="0">
                  <c:v>22</c:v>
                </c:pt>
              </c:numCache>
            </c:numRef>
          </c:val>
          <c:extLst>
            <c:ext xmlns:c16="http://schemas.microsoft.com/office/drawing/2014/chart" uri="{C3380CC4-5D6E-409C-BE32-E72D297353CC}">
              <c16:uniqueId val="{00000016-9595-43D8-940D-AE612A3231CE}"/>
            </c:ext>
          </c:extLst>
        </c:ser>
        <c:ser>
          <c:idx val="2"/>
          <c:order val="2"/>
          <c:tx>
            <c:strRef>
              <c:f>'Pivot Table'!$Z$216:$Z$217</c:f>
              <c:strCache>
                <c:ptCount val="1"/>
                <c:pt idx="0">
                  <c:v>2020</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Table'!$W$218</c:f>
              <c:strCache>
                <c:ptCount val="1"/>
                <c:pt idx="0">
                  <c:v>Total</c:v>
                </c:pt>
              </c:strCache>
            </c:strRef>
          </c:cat>
          <c:val>
            <c:numRef>
              <c:f>'Pivot Table'!$Z$218</c:f>
              <c:numCache>
                <c:formatCode>General</c:formatCode>
                <c:ptCount val="1"/>
                <c:pt idx="0">
                  <c:v>40</c:v>
                </c:pt>
              </c:numCache>
            </c:numRef>
          </c:val>
          <c:extLst>
            <c:ext xmlns:c16="http://schemas.microsoft.com/office/drawing/2014/chart" uri="{C3380CC4-5D6E-409C-BE32-E72D297353CC}">
              <c16:uniqueId val="{00000017-9595-43D8-940D-AE612A3231CE}"/>
            </c:ext>
          </c:extLst>
        </c:ser>
        <c:ser>
          <c:idx val="3"/>
          <c:order val="3"/>
          <c:tx>
            <c:strRef>
              <c:f>'Pivot Table'!$AA$216:$AA$217</c:f>
              <c:strCache>
                <c:ptCount val="1"/>
                <c:pt idx="0">
                  <c:v>2021</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Table'!$W$218</c:f>
              <c:strCache>
                <c:ptCount val="1"/>
                <c:pt idx="0">
                  <c:v>Total</c:v>
                </c:pt>
              </c:strCache>
            </c:strRef>
          </c:cat>
          <c:val>
            <c:numRef>
              <c:f>'Pivot Table'!$AA$218</c:f>
              <c:numCache>
                <c:formatCode>General</c:formatCode>
                <c:ptCount val="1"/>
                <c:pt idx="0">
                  <c:v>47</c:v>
                </c:pt>
              </c:numCache>
            </c:numRef>
          </c:val>
          <c:extLst>
            <c:ext xmlns:c16="http://schemas.microsoft.com/office/drawing/2014/chart" uri="{C3380CC4-5D6E-409C-BE32-E72D297353CC}">
              <c16:uniqueId val="{00000018-9595-43D8-940D-AE612A3231CE}"/>
            </c:ext>
          </c:extLst>
        </c:ser>
        <c:ser>
          <c:idx val="4"/>
          <c:order val="4"/>
          <c:tx>
            <c:strRef>
              <c:f>'Pivot Table'!$AB$216:$AB$217</c:f>
              <c:strCache>
                <c:ptCount val="1"/>
                <c:pt idx="0">
                  <c:v>2022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Table'!$W$218</c:f>
              <c:strCache>
                <c:ptCount val="1"/>
                <c:pt idx="0">
                  <c:v>Total</c:v>
                </c:pt>
              </c:strCache>
            </c:strRef>
          </c:cat>
          <c:val>
            <c:numRef>
              <c:f>'Pivot Table'!$AB$218</c:f>
              <c:numCache>
                <c:formatCode>General</c:formatCode>
                <c:ptCount val="1"/>
                <c:pt idx="0">
                  <c:v>41</c:v>
                </c:pt>
              </c:numCache>
            </c:numRef>
          </c:val>
          <c:extLst>
            <c:ext xmlns:c16="http://schemas.microsoft.com/office/drawing/2014/chart" uri="{C3380CC4-5D6E-409C-BE32-E72D297353CC}">
              <c16:uniqueId val="{00000019-9595-43D8-940D-AE612A3231CE}"/>
            </c:ext>
          </c:extLst>
        </c:ser>
        <c:ser>
          <c:idx val="5"/>
          <c:order val="5"/>
          <c:tx>
            <c:strRef>
              <c:f>'Pivot Table'!$AC$216:$AC$217</c:f>
              <c:strCache>
                <c:ptCount val="1"/>
                <c:pt idx="0">
                  <c:v>2023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Table'!$W$218</c:f>
              <c:strCache>
                <c:ptCount val="1"/>
                <c:pt idx="0">
                  <c:v>Total</c:v>
                </c:pt>
              </c:strCache>
            </c:strRef>
          </c:cat>
          <c:val>
            <c:numRef>
              <c:f>'Pivot Table'!$AC$218</c:f>
              <c:numCache>
                <c:formatCode>General</c:formatCode>
                <c:ptCount val="1"/>
                <c:pt idx="0">
                  <c:v>32</c:v>
                </c:pt>
              </c:numCache>
            </c:numRef>
          </c:val>
          <c:extLst>
            <c:ext xmlns:c16="http://schemas.microsoft.com/office/drawing/2014/chart" uri="{C3380CC4-5D6E-409C-BE32-E72D297353CC}">
              <c16:uniqueId val="{0000001A-9595-43D8-940D-AE612A3231CE}"/>
            </c:ext>
          </c:extLst>
        </c:ser>
        <c:ser>
          <c:idx val="6"/>
          <c:order val="6"/>
          <c:tx>
            <c:strRef>
              <c:f>'Pivot Table'!$AD$216:$AD$217</c:f>
              <c:strCache>
                <c:ptCount val="1"/>
                <c:pt idx="0">
                  <c:v>2024</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Table'!$W$218</c:f>
              <c:strCache>
                <c:ptCount val="1"/>
                <c:pt idx="0">
                  <c:v>Total</c:v>
                </c:pt>
              </c:strCache>
            </c:strRef>
          </c:cat>
          <c:val>
            <c:numRef>
              <c:f>'Pivot Table'!$AD$218</c:f>
              <c:numCache>
                <c:formatCode>General</c:formatCode>
                <c:ptCount val="1"/>
                <c:pt idx="0">
                  <c:v>17</c:v>
                </c:pt>
              </c:numCache>
            </c:numRef>
          </c:val>
          <c:extLst>
            <c:ext xmlns:c16="http://schemas.microsoft.com/office/drawing/2014/chart" uri="{C3380CC4-5D6E-409C-BE32-E72D297353CC}">
              <c16:uniqueId val="{0000001B-9595-43D8-940D-AE612A3231CE}"/>
            </c:ext>
          </c:extLst>
        </c:ser>
        <c:dLbls>
          <c:showLegendKey val="0"/>
          <c:showVal val="1"/>
          <c:showCatName val="0"/>
          <c:showSerName val="0"/>
          <c:showPercent val="0"/>
          <c:showBubbleSize val="0"/>
        </c:dLbls>
        <c:gapWidth val="150"/>
        <c:shape val="box"/>
        <c:axId val="142633920"/>
        <c:axId val="142631520"/>
        <c:axId val="0"/>
      </c:bar3DChart>
      <c:catAx>
        <c:axId val="142633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31520"/>
        <c:crosses val="autoZero"/>
        <c:auto val="1"/>
        <c:lblAlgn val="ctr"/>
        <c:lblOffset val="100"/>
        <c:noMultiLvlLbl val="0"/>
      </c:catAx>
      <c:valAx>
        <c:axId val="14263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263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Dashboard.xlsx]Pivot Table!PivotTable1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Medication by Test results </a:t>
            </a:r>
          </a:p>
        </c:rich>
      </c:tx>
      <c:layout>
        <c:manualLayout>
          <c:xMode val="edge"/>
          <c:yMode val="edge"/>
          <c:x val="0.25208193381421723"/>
          <c:y val="6.16473461650626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6807405896519272E-3"/>
              <c:y val="3.2488628979857048E-3"/>
            </c:manualLayout>
          </c:layout>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8946738800507"/>
          <c:y val="0.12276397515527951"/>
          <c:w val="0.85726982712656508"/>
          <c:h val="0.80519171516603905"/>
        </c:manualLayout>
      </c:layout>
      <c:barChart>
        <c:barDir val="col"/>
        <c:grouping val="clustered"/>
        <c:varyColors val="0"/>
        <c:ser>
          <c:idx val="0"/>
          <c:order val="0"/>
          <c:tx>
            <c:strRef>
              <c:f>'Pivot Table'!$J$3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4"/>
              <c:layout>
                <c:manualLayout>
                  <c:x val="5.6807405896519272E-3"/>
                  <c:y val="3.2488628979857048E-3"/>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E0-43C7-83C0-CD96C8984DEC}"/>
                </c:ext>
              </c:extLst>
            </c:dLbl>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Table'!$I$4:$I$9</c:f>
              <c:strCache>
                <c:ptCount val="5"/>
                <c:pt idx="0">
                  <c:v>Aspirin</c:v>
                </c:pt>
                <c:pt idx="1">
                  <c:v>Ibuprofen</c:v>
                </c:pt>
                <c:pt idx="2">
                  <c:v>Lipitor</c:v>
                </c:pt>
                <c:pt idx="3">
                  <c:v>Paracetamol</c:v>
                </c:pt>
                <c:pt idx="4">
                  <c:v>Penicillin</c:v>
                </c:pt>
              </c:strCache>
            </c:strRef>
          </c:cat>
          <c:val>
            <c:numRef>
              <c:f>'Pivot Table'!$J$4:$J$9</c:f>
              <c:numCache>
                <c:formatCode>General</c:formatCode>
                <c:ptCount val="5"/>
                <c:pt idx="0">
                  <c:v>34</c:v>
                </c:pt>
                <c:pt idx="1">
                  <c:v>49</c:v>
                </c:pt>
                <c:pt idx="2">
                  <c:v>34</c:v>
                </c:pt>
                <c:pt idx="3">
                  <c:v>40</c:v>
                </c:pt>
                <c:pt idx="4">
                  <c:v>42</c:v>
                </c:pt>
              </c:numCache>
            </c:numRef>
          </c:val>
          <c:extLst>
            <c:ext xmlns:c16="http://schemas.microsoft.com/office/drawing/2014/chart" uri="{C3380CC4-5D6E-409C-BE32-E72D297353CC}">
              <c16:uniqueId val="{00000000-52E0-43C7-83C0-CD96C8984DEC}"/>
            </c:ext>
          </c:extLst>
        </c:ser>
        <c:dLbls>
          <c:showLegendKey val="0"/>
          <c:showVal val="0"/>
          <c:showCatName val="0"/>
          <c:showSerName val="0"/>
          <c:showPercent val="0"/>
          <c:showBubbleSize val="0"/>
        </c:dLbls>
        <c:gapWidth val="150"/>
        <c:axId val="1612942368"/>
        <c:axId val="1612942848"/>
      </c:barChart>
      <c:catAx>
        <c:axId val="1612942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2942848"/>
        <c:crosses val="autoZero"/>
        <c:auto val="1"/>
        <c:lblAlgn val="ctr"/>
        <c:lblOffset val="100"/>
        <c:noMultiLvlLbl val="0"/>
      </c:catAx>
      <c:valAx>
        <c:axId val="1612942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294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image" Target="../media/image1.jpeg"/><Relationship Id="rId6" Type="http://schemas.openxmlformats.org/officeDocument/2006/relationships/image" Target="../media/image2.jpe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126</xdr:col>
      <xdr:colOff>297180</xdr:colOff>
      <xdr:row>10</xdr:row>
      <xdr:rowOff>38100</xdr:rowOff>
    </xdr:from>
    <xdr:to>
      <xdr:col>130</xdr:col>
      <xdr:colOff>464820</xdr:colOff>
      <xdr:row>24</xdr:row>
      <xdr:rowOff>152400</xdr:rowOff>
    </xdr:to>
    <xdr:graphicFrame macro="">
      <xdr:nvGraphicFramePr>
        <xdr:cNvPr id="2" name="Chart 1">
          <a:extLst>
            <a:ext uri="{FF2B5EF4-FFF2-40B4-BE49-F238E27FC236}">
              <a16:creationId xmlns:a16="http://schemas.microsoft.com/office/drawing/2014/main" id="{D754E93E-E93B-491D-3DA6-25F05DDD0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29</xdr:col>
      <xdr:colOff>30480</xdr:colOff>
      <xdr:row>202</xdr:row>
      <xdr:rowOff>53340</xdr:rowOff>
    </xdr:from>
    <xdr:to>
      <xdr:col>31</xdr:col>
      <xdr:colOff>777240</xdr:colOff>
      <xdr:row>215</xdr:row>
      <xdr:rowOff>142875</xdr:rowOff>
    </xdr:to>
    <mc:AlternateContent xmlns:mc="http://schemas.openxmlformats.org/markup-compatibility/2006">
      <mc:Choice xmlns:a14="http://schemas.microsoft.com/office/drawing/2010/main" Requires="a14">
        <xdr:graphicFrame macro="">
          <xdr:nvGraphicFramePr>
            <xdr:cNvPr id="4" name="Years (Discharge Date)">
              <a:extLst>
                <a:ext uri="{FF2B5EF4-FFF2-40B4-BE49-F238E27FC236}">
                  <a16:creationId xmlns:a16="http://schemas.microsoft.com/office/drawing/2014/main" id="{8D44D56A-C454-B945-2DAE-1CC3D6F8B60F}"/>
                </a:ext>
              </a:extLst>
            </xdr:cNvPr>
            <xdr:cNvGraphicFramePr/>
          </xdr:nvGraphicFramePr>
          <xdr:xfrm>
            <a:off x="0" y="0"/>
            <a:ext cx="0" cy="0"/>
          </xdr:xfrm>
          <a:graphic>
            <a:graphicData uri="http://schemas.microsoft.com/office/drawing/2010/slicer">
              <sle:slicer xmlns:sle="http://schemas.microsoft.com/office/drawing/2010/slicer" name="Years (Discharge Date)"/>
            </a:graphicData>
          </a:graphic>
        </xdr:graphicFrame>
      </mc:Choice>
      <mc:Fallback>
        <xdr:sp macro="" textlink="">
          <xdr:nvSpPr>
            <xdr:cNvPr id="0" name=""/>
            <xdr:cNvSpPr>
              <a:spLocks noTextEdit="1"/>
            </xdr:cNvSpPr>
          </xdr:nvSpPr>
          <xdr:spPr>
            <a:xfrm>
              <a:off x="23164800" y="36995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41</xdr:col>
      <xdr:colOff>418830</xdr:colOff>
      <xdr:row>65</xdr:row>
      <xdr:rowOff>90594</xdr:rowOff>
    </xdr:to>
    <xdr:pic>
      <xdr:nvPicPr>
        <xdr:cNvPr id="2" name="Picture 1">
          <a:extLst>
            <a:ext uri="{FF2B5EF4-FFF2-40B4-BE49-F238E27FC236}">
              <a16:creationId xmlns:a16="http://schemas.microsoft.com/office/drawing/2014/main" id="{4C6D6ACA-FA8A-75A5-4175-A32D741D9417}"/>
            </a:ext>
          </a:extLst>
        </xdr:cNvPr>
        <xdr:cNvPicPr>
          <a:picLocks noChangeAspect="1" noChangeArrowheads="1"/>
        </xdr:cNvPicPr>
      </xdr:nvPicPr>
      <xdr:blipFill>
        <a:blip xmlns:r="http://schemas.openxmlformats.org/officeDocument/2006/relationships" r:embed="rId1">
          <a:alphaModFix amt="70000"/>
          <a:extLst>
            <a:ext uri="{28A0092B-C50C-407E-A947-70E740481C1C}">
              <a14:useLocalDpi xmlns:a14="http://schemas.microsoft.com/office/drawing/2010/main" val="0"/>
            </a:ext>
          </a:extLst>
        </a:blip>
        <a:srcRect/>
        <a:stretch>
          <a:fillRect/>
        </a:stretch>
      </xdr:blipFill>
      <xdr:spPr bwMode="auto">
        <a:xfrm>
          <a:off x="12700" y="0"/>
          <a:ext cx="25399730" cy="116475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279400</xdr:colOff>
      <xdr:row>31</xdr:row>
      <xdr:rowOff>101600</xdr:rowOff>
    </xdr:from>
    <xdr:to>
      <xdr:col>8</xdr:col>
      <xdr:colOff>444500</xdr:colOff>
      <xdr:row>47</xdr:row>
      <xdr:rowOff>88900</xdr:rowOff>
    </xdr:to>
    <xdr:graphicFrame macro="">
      <xdr:nvGraphicFramePr>
        <xdr:cNvPr id="3" name="Chart 2">
          <a:extLst>
            <a:ext uri="{FF2B5EF4-FFF2-40B4-BE49-F238E27FC236}">
              <a16:creationId xmlns:a16="http://schemas.microsoft.com/office/drawing/2014/main" id="{8F3AFD7F-83EC-4A72-BEBB-E7D125942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342900</xdr:colOff>
      <xdr:row>0</xdr:row>
      <xdr:rowOff>38100</xdr:rowOff>
    </xdr:from>
    <xdr:to>
      <xdr:col>33</xdr:col>
      <xdr:colOff>12700</xdr:colOff>
      <xdr:row>15</xdr:row>
      <xdr:rowOff>152401</xdr:rowOff>
    </xdr:to>
    <xdr:graphicFrame macro="">
      <xdr:nvGraphicFramePr>
        <xdr:cNvPr id="4" name="Chart 3">
          <a:extLst>
            <a:ext uri="{FF2B5EF4-FFF2-40B4-BE49-F238E27FC236}">
              <a16:creationId xmlns:a16="http://schemas.microsoft.com/office/drawing/2014/main" id="{41A6BDE7-7054-4896-A6B6-66DB73DA0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304800</xdr:colOff>
      <xdr:row>14</xdr:row>
      <xdr:rowOff>152400</xdr:rowOff>
    </xdr:from>
    <xdr:to>
      <xdr:col>8</xdr:col>
      <xdr:colOff>444500</xdr:colOff>
      <xdr:row>30</xdr:row>
      <xdr:rowOff>165100</xdr:rowOff>
    </xdr:to>
    <xdr:graphicFrame macro="">
      <xdr:nvGraphicFramePr>
        <xdr:cNvPr id="5" name="Chart 4">
          <a:extLst>
            <a:ext uri="{FF2B5EF4-FFF2-40B4-BE49-F238E27FC236}">
              <a16:creationId xmlns:a16="http://schemas.microsoft.com/office/drawing/2014/main" id="{FCD167DA-358F-4635-9239-9443BC7A3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292100</xdr:colOff>
      <xdr:row>16</xdr:row>
      <xdr:rowOff>0</xdr:rowOff>
    </xdr:from>
    <xdr:to>
      <xdr:col>28</xdr:col>
      <xdr:colOff>482599</xdr:colOff>
      <xdr:row>30</xdr:row>
      <xdr:rowOff>165100</xdr:rowOff>
    </xdr:to>
    <xdr:graphicFrame macro="">
      <xdr:nvGraphicFramePr>
        <xdr:cNvPr id="6" name="Chart 5">
          <a:extLst>
            <a:ext uri="{FF2B5EF4-FFF2-40B4-BE49-F238E27FC236}">
              <a16:creationId xmlns:a16="http://schemas.microsoft.com/office/drawing/2014/main" id="{CB1BA129-3206-49DA-BBB4-3A68CF393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127000</xdr:colOff>
      <xdr:row>0</xdr:row>
      <xdr:rowOff>114301</xdr:rowOff>
    </xdr:from>
    <xdr:to>
      <xdr:col>24</xdr:col>
      <xdr:colOff>279400</xdr:colOff>
      <xdr:row>6</xdr:row>
      <xdr:rowOff>50801</xdr:rowOff>
    </xdr:to>
    <xdr:sp macro="" textlink="">
      <xdr:nvSpPr>
        <xdr:cNvPr id="7" name="TextBox 6">
          <a:extLst>
            <a:ext uri="{FF2B5EF4-FFF2-40B4-BE49-F238E27FC236}">
              <a16:creationId xmlns:a16="http://schemas.microsoft.com/office/drawing/2014/main" id="{90FAE8EA-E6B4-A80B-E6D9-0EF820E179E8}"/>
            </a:ext>
          </a:extLst>
        </xdr:cNvPr>
        <xdr:cNvSpPr txBox="1"/>
      </xdr:nvSpPr>
      <xdr:spPr>
        <a:xfrm>
          <a:off x="5613400" y="114301"/>
          <a:ext cx="9296400" cy="100330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2" algn="l"/>
          <a:r>
            <a:rPr lang="en-IN" sz="3200"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HEALTHCARE</a:t>
          </a:r>
          <a:r>
            <a:rPr lang="en-IN" sz="3200" b="1" cap="none" spc="50" baseline="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HOSPIT DASHBOARD</a:t>
          </a:r>
          <a:endParaRPr lang="en-IN" sz="3200" b="1" cap="none" spc="50">
            <a:ln w="0"/>
            <a:solidFill>
              <a:schemeClr val="bg1"/>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292100</xdr:colOff>
      <xdr:row>0</xdr:row>
      <xdr:rowOff>122767</xdr:rowOff>
    </xdr:from>
    <xdr:to>
      <xdr:col>11</xdr:col>
      <xdr:colOff>304799</xdr:colOff>
      <xdr:row>6</xdr:row>
      <xdr:rowOff>18689</xdr:rowOff>
    </xdr:to>
    <xdr:pic>
      <xdr:nvPicPr>
        <xdr:cNvPr id="9" name="Picture 8" descr="Health Care Logo Concept Royalty Free Vector Image">
          <a:extLst>
            <a:ext uri="{FF2B5EF4-FFF2-40B4-BE49-F238E27FC236}">
              <a16:creationId xmlns:a16="http://schemas.microsoft.com/office/drawing/2014/main" id="{C3C50896-2E1D-1A5E-605D-C5DFA25428DD}"/>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7225"/>
        <a:stretch>
          <a:fillRect/>
        </a:stretch>
      </xdr:blipFill>
      <xdr:spPr bwMode="auto">
        <a:xfrm>
          <a:off x="5778500" y="122767"/>
          <a:ext cx="1231899" cy="962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584200</xdr:colOff>
      <xdr:row>14</xdr:row>
      <xdr:rowOff>76200</xdr:rowOff>
    </xdr:from>
    <xdr:to>
      <xdr:col>20</xdr:col>
      <xdr:colOff>254000</xdr:colOff>
      <xdr:row>48</xdr:row>
      <xdr:rowOff>114299</xdr:rowOff>
    </xdr:to>
    <xdr:pic>
      <xdr:nvPicPr>
        <xdr:cNvPr id="10" name="Picture 9">
          <a:extLst>
            <a:ext uri="{FF2B5EF4-FFF2-40B4-BE49-F238E27FC236}">
              <a16:creationId xmlns:a16="http://schemas.microsoft.com/office/drawing/2014/main" id="{16A00043-3EDB-AB42-AB5D-2B4D5A1D09AF}"/>
            </a:ext>
          </a:extLst>
        </xdr:cNvPr>
        <xdr:cNvPicPr>
          <a:picLocks noChangeAspect="1"/>
        </xdr:cNvPicPr>
      </xdr:nvPicPr>
      <xdr:blipFill>
        <a:blip xmlns:r="http://schemas.openxmlformats.org/officeDocument/2006/relationships" r:embed="rId7">
          <a:alphaModFix amt="70000"/>
        </a:blip>
        <a:stretch>
          <a:fillRect/>
        </a:stretch>
      </xdr:blipFill>
      <xdr:spPr>
        <a:xfrm>
          <a:off x="5461000" y="2565400"/>
          <a:ext cx="6985000" cy="6083299"/>
        </a:xfrm>
        <a:prstGeom prst="rect">
          <a:avLst/>
        </a:prstGeom>
        <a:solidFill>
          <a:schemeClr val="accent4">
            <a:lumMod val="60000"/>
            <a:lumOff val="40000"/>
          </a:schemeClr>
        </a:solidFill>
      </xdr:spPr>
    </xdr:pic>
    <xdr:clientData/>
  </xdr:twoCellAnchor>
  <xdr:twoCellAnchor>
    <xdr:from>
      <xdr:col>9</xdr:col>
      <xdr:colOff>114273</xdr:colOff>
      <xdr:row>6</xdr:row>
      <xdr:rowOff>83458</xdr:rowOff>
    </xdr:from>
    <xdr:to>
      <xdr:col>12</xdr:col>
      <xdr:colOff>477838</xdr:colOff>
      <xdr:row>13</xdr:row>
      <xdr:rowOff>165100</xdr:rowOff>
    </xdr:to>
    <xdr:sp macro="" textlink="">
      <xdr:nvSpPr>
        <xdr:cNvPr id="8" name="Rectangle 7">
          <a:extLst>
            <a:ext uri="{FF2B5EF4-FFF2-40B4-BE49-F238E27FC236}">
              <a16:creationId xmlns:a16="http://schemas.microsoft.com/office/drawing/2014/main" id="{A1CC523C-2FDE-8449-7A90-F87DA50F0277}"/>
            </a:ext>
          </a:extLst>
        </xdr:cNvPr>
        <xdr:cNvSpPr/>
      </xdr:nvSpPr>
      <xdr:spPr>
        <a:xfrm>
          <a:off x="5600673" y="1150258"/>
          <a:ext cx="2192365" cy="1326242"/>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199</a:t>
          </a:r>
        </a:p>
      </xdr:txBody>
    </xdr:sp>
    <xdr:clientData/>
  </xdr:twoCellAnchor>
  <xdr:twoCellAnchor>
    <xdr:from>
      <xdr:col>13</xdr:col>
      <xdr:colOff>74613</xdr:colOff>
      <xdr:row>6</xdr:row>
      <xdr:rowOff>102324</xdr:rowOff>
    </xdr:from>
    <xdr:to>
      <xdr:col>16</xdr:col>
      <xdr:colOff>327025</xdr:colOff>
      <xdr:row>13</xdr:row>
      <xdr:rowOff>165100</xdr:rowOff>
    </xdr:to>
    <xdr:sp macro="" textlink="">
      <xdr:nvSpPr>
        <xdr:cNvPr id="11" name="Rectangle 10">
          <a:extLst>
            <a:ext uri="{FF2B5EF4-FFF2-40B4-BE49-F238E27FC236}">
              <a16:creationId xmlns:a16="http://schemas.microsoft.com/office/drawing/2014/main" id="{20F3BD7F-0098-4FF5-AEE5-88D153ADF1A4}"/>
            </a:ext>
          </a:extLst>
        </xdr:cNvPr>
        <xdr:cNvSpPr/>
      </xdr:nvSpPr>
      <xdr:spPr>
        <a:xfrm>
          <a:off x="7999413" y="1169124"/>
          <a:ext cx="2081212" cy="1307376"/>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199</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17</xdr:col>
      <xdr:colOff>107360</xdr:colOff>
      <xdr:row>6</xdr:row>
      <xdr:rowOff>114300</xdr:rowOff>
    </xdr:from>
    <xdr:to>
      <xdr:col>20</xdr:col>
      <xdr:colOff>384175</xdr:colOff>
      <xdr:row>12</xdr:row>
      <xdr:rowOff>139700</xdr:rowOff>
    </xdr:to>
    <xdr:sp macro="" textlink="">
      <xdr:nvSpPr>
        <xdr:cNvPr id="12" name="Rectangle 11">
          <a:extLst>
            <a:ext uri="{FF2B5EF4-FFF2-40B4-BE49-F238E27FC236}">
              <a16:creationId xmlns:a16="http://schemas.microsoft.com/office/drawing/2014/main" id="{325C8360-123D-4F3B-8B1C-C782B7A64575}"/>
            </a:ext>
          </a:extLst>
        </xdr:cNvPr>
        <xdr:cNvSpPr/>
      </xdr:nvSpPr>
      <xdr:spPr>
        <a:xfrm>
          <a:off x="10470560" y="1181100"/>
          <a:ext cx="2105615" cy="10922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Diabetes</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21</xdr:col>
      <xdr:colOff>36512</xdr:colOff>
      <xdr:row>6</xdr:row>
      <xdr:rowOff>114300</xdr:rowOff>
    </xdr:from>
    <xdr:to>
      <xdr:col>24</xdr:col>
      <xdr:colOff>280988</xdr:colOff>
      <xdr:row>14</xdr:row>
      <xdr:rowOff>12700</xdr:rowOff>
    </xdr:to>
    <xdr:sp macro="" textlink="">
      <xdr:nvSpPr>
        <xdr:cNvPr id="13" name="Rectangle 12">
          <a:extLst>
            <a:ext uri="{FF2B5EF4-FFF2-40B4-BE49-F238E27FC236}">
              <a16:creationId xmlns:a16="http://schemas.microsoft.com/office/drawing/2014/main" id="{635CE94C-D320-4B3F-9A86-2CE25730EEE9}"/>
            </a:ext>
          </a:extLst>
        </xdr:cNvPr>
        <xdr:cNvSpPr/>
      </xdr:nvSpPr>
      <xdr:spPr>
        <a:xfrm>
          <a:off x="12838112" y="1181100"/>
          <a:ext cx="2073276" cy="1320800"/>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2021</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0</xdr:col>
      <xdr:colOff>368300</xdr:colOff>
      <xdr:row>0</xdr:row>
      <xdr:rowOff>0</xdr:rowOff>
    </xdr:from>
    <xdr:to>
      <xdr:col>8</xdr:col>
      <xdr:colOff>444500</xdr:colOff>
      <xdr:row>14</xdr:row>
      <xdr:rowOff>114299</xdr:rowOff>
    </xdr:to>
    <xdr:graphicFrame macro="">
      <xdr:nvGraphicFramePr>
        <xdr:cNvPr id="14" name="Chart 13">
          <a:extLst>
            <a:ext uri="{FF2B5EF4-FFF2-40B4-BE49-F238E27FC236}">
              <a16:creationId xmlns:a16="http://schemas.microsoft.com/office/drawing/2014/main" id="{DEA1922F-457C-41B9-BC39-231C0654D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304800</xdr:colOff>
      <xdr:row>31</xdr:row>
      <xdr:rowOff>139700</xdr:rowOff>
    </xdr:from>
    <xdr:to>
      <xdr:col>28</xdr:col>
      <xdr:colOff>512761</xdr:colOff>
      <xdr:row>47</xdr:row>
      <xdr:rowOff>176212</xdr:rowOff>
    </xdr:to>
    <xdr:graphicFrame macro="">
      <xdr:nvGraphicFramePr>
        <xdr:cNvPr id="15" name="Chart 14">
          <a:extLst>
            <a:ext uri="{FF2B5EF4-FFF2-40B4-BE49-F238E27FC236}">
              <a16:creationId xmlns:a16="http://schemas.microsoft.com/office/drawing/2014/main" id="{4956F02B-9C16-4EC6-BEA2-C0A278D59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33</xdr:col>
      <xdr:colOff>88900</xdr:colOff>
      <xdr:row>0</xdr:row>
      <xdr:rowOff>144462</xdr:rowOff>
    </xdr:from>
    <xdr:to>
      <xdr:col>35</xdr:col>
      <xdr:colOff>482600</xdr:colOff>
      <xdr:row>8</xdr:row>
      <xdr:rowOff>152400</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A048674C-E2EE-F7D5-2988-768ABCDAB3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205700" y="144462"/>
              <a:ext cx="1612900" cy="1430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438151</xdr:colOff>
      <xdr:row>9</xdr:row>
      <xdr:rowOff>66675</xdr:rowOff>
    </xdr:from>
    <xdr:to>
      <xdr:col>12</xdr:col>
      <xdr:colOff>327025</xdr:colOff>
      <xdr:row>11</xdr:row>
      <xdr:rowOff>101600</xdr:rowOff>
    </xdr:to>
    <xdr:sp macro="" textlink="">
      <xdr:nvSpPr>
        <xdr:cNvPr id="22" name="TextBox 21">
          <a:extLst>
            <a:ext uri="{FF2B5EF4-FFF2-40B4-BE49-F238E27FC236}">
              <a16:creationId xmlns:a16="http://schemas.microsoft.com/office/drawing/2014/main" id="{2470563E-1D19-5857-0A71-579A6A6773FA}"/>
            </a:ext>
          </a:extLst>
        </xdr:cNvPr>
        <xdr:cNvSpPr txBox="1"/>
      </xdr:nvSpPr>
      <xdr:spPr>
        <a:xfrm>
          <a:off x="5924551" y="1666875"/>
          <a:ext cx="1717674" cy="39052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PATIENT</a:t>
          </a:r>
          <a:r>
            <a:rPr lang="en-IN" sz="1400" b="1" cap="none" spc="50" baseline="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COUNT</a:t>
          </a:r>
          <a:endPar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13</xdr:col>
      <xdr:colOff>190501</xdr:colOff>
      <xdr:row>10</xdr:row>
      <xdr:rowOff>7938</xdr:rowOff>
    </xdr:from>
    <xdr:to>
      <xdr:col>16</xdr:col>
      <xdr:colOff>279401</xdr:colOff>
      <xdr:row>12</xdr:row>
      <xdr:rowOff>0</xdr:rowOff>
    </xdr:to>
    <xdr:sp macro="" textlink="">
      <xdr:nvSpPr>
        <xdr:cNvPr id="26" name="TextBox 25">
          <a:extLst>
            <a:ext uri="{FF2B5EF4-FFF2-40B4-BE49-F238E27FC236}">
              <a16:creationId xmlns:a16="http://schemas.microsoft.com/office/drawing/2014/main" id="{2A000387-7077-597F-72F9-230214DA2086}"/>
            </a:ext>
          </a:extLst>
        </xdr:cNvPr>
        <xdr:cNvSpPr txBox="1"/>
      </xdr:nvSpPr>
      <xdr:spPr>
        <a:xfrm>
          <a:off x="8115301" y="1785938"/>
          <a:ext cx="1917700" cy="347662"/>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HOSPITA</a:t>
          </a:r>
          <a:r>
            <a:rPr lang="en-IN" sz="1400" b="1" cap="none" spc="50" baseline="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L COUNT</a:t>
          </a:r>
          <a:endPar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17</xdr:col>
      <xdr:colOff>101600</xdr:colOff>
      <xdr:row>10</xdr:row>
      <xdr:rowOff>25400</xdr:rowOff>
    </xdr:from>
    <xdr:to>
      <xdr:col>20</xdr:col>
      <xdr:colOff>393700</xdr:colOff>
      <xdr:row>13</xdr:row>
      <xdr:rowOff>165100</xdr:rowOff>
    </xdr:to>
    <xdr:sp macro="" textlink="">
      <xdr:nvSpPr>
        <xdr:cNvPr id="27" name="TextBox 26">
          <a:extLst>
            <a:ext uri="{FF2B5EF4-FFF2-40B4-BE49-F238E27FC236}">
              <a16:creationId xmlns:a16="http://schemas.microsoft.com/office/drawing/2014/main" id="{098465C1-8F43-AE4B-3F7C-B2500F56FDE1}"/>
            </a:ext>
          </a:extLst>
        </xdr:cNvPr>
        <xdr:cNvSpPr txBox="1"/>
      </xdr:nvSpPr>
      <xdr:spPr>
        <a:xfrm>
          <a:off x="10464800" y="1803400"/>
          <a:ext cx="2120900" cy="67310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HIGHEST MEDICAL</a:t>
          </a:r>
          <a:r>
            <a:rPr lang="en-IN" sz="1400" b="1" cap="none" spc="50" baseline="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CONDITION</a:t>
          </a:r>
          <a:endPar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21</xdr:col>
      <xdr:colOff>96894</xdr:colOff>
      <xdr:row>9</xdr:row>
      <xdr:rowOff>40216</xdr:rowOff>
    </xdr:from>
    <xdr:to>
      <xdr:col>24</xdr:col>
      <xdr:colOff>292100</xdr:colOff>
      <xdr:row>13</xdr:row>
      <xdr:rowOff>7708</xdr:rowOff>
    </xdr:to>
    <xdr:sp macro="" textlink="">
      <xdr:nvSpPr>
        <xdr:cNvPr id="28" name="TextBox 27">
          <a:extLst>
            <a:ext uri="{FF2B5EF4-FFF2-40B4-BE49-F238E27FC236}">
              <a16:creationId xmlns:a16="http://schemas.microsoft.com/office/drawing/2014/main" id="{2196B7BD-9419-6687-8381-FCFF49EB4927}"/>
            </a:ext>
          </a:extLst>
        </xdr:cNvPr>
        <xdr:cNvSpPr txBox="1"/>
      </xdr:nvSpPr>
      <xdr:spPr>
        <a:xfrm>
          <a:off x="12898494" y="1640416"/>
          <a:ext cx="2024006" cy="678692"/>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HiGHEST YEAR OF</a:t>
          </a:r>
          <a:r>
            <a:rPr lang="en-IN" sz="1400" b="1" cap="none" spc="50" baseline="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rPr>
            <a:t> ADMISSION </a:t>
          </a:r>
          <a:endParaRPr lang="en-IN" sz="1400" b="1" cap="none" spc="50">
            <a:ln w="0"/>
            <a:solidFill>
              <a:schemeClr val="bg2"/>
            </a:solidFill>
            <a:effectLst>
              <a:innerShdw blurRad="63500" dist="50800" dir="13500000">
                <a:srgbClr val="000000">
                  <a:alpha val="50000"/>
                </a:srgbClr>
              </a:innerShdw>
            </a:effectLst>
            <a:latin typeface="Times New Roman" panose="02020603050405020304" pitchFamily="18" charset="0"/>
            <a:cs typeface="Times New Roman" panose="02020603050405020304" pitchFamily="18" charset="0"/>
          </a:endParaRPr>
        </a:p>
      </xdr:txBody>
    </xdr:sp>
    <xdr:clientData/>
  </xdr:twoCellAnchor>
  <xdr:twoCellAnchor>
    <xdr:from>
      <xdr:col>28</xdr:col>
      <xdr:colOff>558800</xdr:colOff>
      <xdr:row>31</xdr:row>
      <xdr:rowOff>127000</xdr:rowOff>
    </xdr:from>
    <xdr:to>
      <xdr:col>37</xdr:col>
      <xdr:colOff>381000</xdr:colOff>
      <xdr:row>48</xdr:row>
      <xdr:rowOff>0</xdr:rowOff>
    </xdr:to>
    <xdr:graphicFrame macro="">
      <xdr:nvGraphicFramePr>
        <xdr:cNvPr id="29" name="Chart 28">
          <a:extLst>
            <a:ext uri="{FF2B5EF4-FFF2-40B4-BE49-F238E27FC236}">
              <a16:creationId xmlns:a16="http://schemas.microsoft.com/office/drawing/2014/main" id="{7B15C98E-6F5C-44B3-980C-872B91224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520700</xdr:colOff>
      <xdr:row>16</xdr:row>
      <xdr:rowOff>12700</xdr:rowOff>
    </xdr:from>
    <xdr:to>
      <xdr:col>37</xdr:col>
      <xdr:colOff>330200</xdr:colOff>
      <xdr:row>30</xdr:row>
      <xdr:rowOff>152400</xdr:rowOff>
    </xdr:to>
    <xdr:graphicFrame macro="">
      <xdr:nvGraphicFramePr>
        <xdr:cNvPr id="21" name="Chart 20">
          <a:extLst>
            <a:ext uri="{FF2B5EF4-FFF2-40B4-BE49-F238E27FC236}">
              <a16:creationId xmlns:a16="http://schemas.microsoft.com/office/drawing/2014/main" id="{89885B9C-778A-4477-973E-E01A6B3F5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35</xdr:col>
      <xdr:colOff>533400</xdr:colOff>
      <xdr:row>0</xdr:row>
      <xdr:rowOff>88900</xdr:rowOff>
    </xdr:from>
    <xdr:to>
      <xdr:col>38</xdr:col>
      <xdr:colOff>533400</xdr:colOff>
      <xdr:row>14</xdr:row>
      <xdr:rowOff>66675</xdr:rowOff>
    </xdr:to>
    <mc:AlternateContent xmlns:mc="http://schemas.openxmlformats.org/markup-compatibility/2006">
      <mc:Choice xmlns:a14="http://schemas.microsoft.com/office/drawing/2010/main" Requires="a14">
        <xdr:graphicFrame macro="">
          <xdr:nvGraphicFramePr>
            <xdr:cNvPr id="34" name="Years (Discharge Date) 1">
              <a:extLst>
                <a:ext uri="{FF2B5EF4-FFF2-40B4-BE49-F238E27FC236}">
                  <a16:creationId xmlns:a16="http://schemas.microsoft.com/office/drawing/2014/main" id="{D2D3E9FE-027B-4F80-A906-5FD91A60D5BA}"/>
                </a:ext>
              </a:extLst>
            </xdr:cNvPr>
            <xdr:cNvGraphicFramePr/>
          </xdr:nvGraphicFramePr>
          <xdr:xfrm>
            <a:off x="0" y="0"/>
            <a:ext cx="0" cy="0"/>
          </xdr:xfrm>
          <a:graphic>
            <a:graphicData uri="http://schemas.microsoft.com/office/drawing/2010/slicer">
              <sle:slicer xmlns:sle="http://schemas.microsoft.com/office/drawing/2010/slicer" name="Years (Discharge Date) 1"/>
            </a:graphicData>
          </a:graphic>
        </xdr:graphicFrame>
      </mc:Choice>
      <mc:Fallback>
        <xdr:sp macro="" textlink="">
          <xdr:nvSpPr>
            <xdr:cNvPr id="0" name=""/>
            <xdr:cNvSpPr>
              <a:spLocks noTextEdit="1"/>
            </xdr:cNvSpPr>
          </xdr:nvSpPr>
          <xdr:spPr>
            <a:xfrm>
              <a:off x="21869400" y="88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0.36243</cdr:x>
      <cdr:y>0.09004</cdr:y>
    </cdr:from>
    <cdr:to>
      <cdr:x>0.81853</cdr:x>
      <cdr:y>0.23578</cdr:y>
    </cdr:to>
    <cdr:sp macro="" textlink="">
      <cdr:nvSpPr>
        <cdr:cNvPr id="5" name="TextBox 4">
          <a:extLst xmlns:a="http://schemas.openxmlformats.org/drawingml/2006/main">
            <a:ext uri="{FF2B5EF4-FFF2-40B4-BE49-F238E27FC236}">
              <a16:creationId xmlns:a16="http://schemas.microsoft.com/office/drawing/2014/main" id="{97405051-665F-E78E-2C91-EE227A60F947}"/>
            </a:ext>
          </a:extLst>
        </cdr:cNvPr>
        <cdr:cNvSpPr txBox="1"/>
      </cdr:nvSpPr>
      <cdr:spPr>
        <a:xfrm xmlns:a="http://schemas.openxmlformats.org/drawingml/2006/main">
          <a:off x="1526404" y="250100"/>
          <a:ext cx="1920875" cy="404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0.23852</cdr:x>
      <cdr:y>0.1</cdr:y>
    </cdr:from>
    <cdr:to>
      <cdr:x>0.9023</cdr:x>
      <cdr:y>0.23431</cdr:y>
    </cdr:to>
    <cdr:sp macro="" textlink="">
      <cdr:nvSpPr>
        <cdr:cNvPr id="6" name="TextBox 5">
          <a:extLst xmlns:a="http://schemas.openxmlformats.org/drawingml/2006/main">
            <a:ext uri="{FF2B5EF4-FFF2-40B4-BE49-F238E27FC236}">
              <a16:creationId xmlns:a16="http://schemas.microsoft.com/office/drawing/2014/main" id="{690EA2CA-592D-601A-70B4-DCBC0A83E806}"/>
            </a:ext>
          </a:extLst>
        </cdr:cNvPr>
        <cdr:cNvSpPr txBox="1"/>
      </cdr:nvSpPr>
      <cdr:spPr>
        <a:xfrm xmlns:a="http://schemas.openxmlformats.org/drawingml/2006/main">
          <a:off x="1181378" y="260341"/>
          <a:ext cx="3287702" cy="3496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rPr>
            <a:t>Patient</a:t>
          </a:r>
          <a:r>
            <a:rPr lang="en-IN" sz="1400" kern="1200">
              <a:solidFill>
                <a:schemeClr val="bg1"/>
              </a:solidFill>
            </a:rPr>
            <a:t> </a:t>
          </a: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Admission by Years</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refreshedDate="45920.415896412036" createdVersion="8" refreshedVersion="8" minRefreshableVersion="3" recordCount="55501" xr:uid="{D3F5211E-F247-4687-9FB1-52DDD35589EF}">
  <cacheSource type="worksheet">
    <worksheetSource ref="A1:O1048576" sheet="healthcare_dataset"/>
  </cacheSource>
  <cacheFields count="21">
    <cacheField name="Name" numFmtId="0">
      <sharedItems containsBlank="1"/>
    </cacheField>
    <cacheField name="Age" numFmtId="0">
      <sharedItems containsString="0" containsBlank="1" containsNumber="1" containsInteger="1" minValue="18" maxValue="85"/>
    </cacheField>
    <cacheField name="Gender" numFmtId="0">
      <sharedItems containsBlank="1" count="3">
        <s v="Male"/>
        <s v="Female"/>
        <m/>
      </sharedItems>
    </cacheField>
    <cacheField name="Blood Type" numFmtId="0">
      <sharedItems containsBlank="1" count="9">
        <s v="B-"/>
        <s v="A+"/>
        <s v="A-"/>
        <s v="O+"/>
        <s v="AB+"/>
        <s v="AB-"/>
        <s v="B+"/>
        <s v="O-"/>
        <m/>
      </sharedItems>
    </cacheField>
    <cacheField name="Medical Condition" numFmtId="0">
      <sharedItems containsBlank="1" count="7">
        <s v="Cancer"/>
        <s v="Obesity"/>
        <s v="Diabetes"/>
        <s v="Asthma"/>
        <s v="Hypertension"/>
        <s v="Arthritis"/>
        <m/>
      </sharedItems>
    </cacheField>
    <cacheField name="Date of Admission" numFmtId="0">
      <sharedItems containsNonDate="0" containsDate="1" containsString="0" containsBlank="1" minDate="2019-05-16T00:00:00" maxDate="2024-04-08T00:00:00" count="189">
        <d v="2024-01-31T00:00:00"/>
        <d v="2019-08-20T00:00:00"/>
        <d v="2022-09-22T00:00:00"/>
        <d v="2020-11-18T00:00:00"/>
        <d v="2022-09-19T00:00:00"/>
        <d v="2023-12-20T00:00:00"/>
        <d v="2020-11-03T00:00:00"/>
        <d v="2021-12-28T00:00:00"/>
        <d v="2020-07-01T00:00:00"/>
        <d v="2021-05-23T00:00:00"/>
        <d v="2020-04-19T00:00:00"/>
        <d v="2023-08-13T00:00:00"/>
        <d v="2019-12-12T00:00:00"/>
        <d v="2020-05-22T00:00:00"/>
        <d v="2021-10-08T00:00:00"/>
        <d v="2023-01-01T00:00:00"/>
        <d v="2020-06-23T00:00:00"/>
        <d v="2020-03-08T00:00:00"/>
        <d v="2021-03-04T00:00:00"/>
        <d v="2022-11-15T00:00:00"/>
        <d v="2023-06-28T00:00:00"/>
        <d v="2020-01-21T00:00:00"/>
        <d v="2022-05-12T00:00:00"/>
        <d v="2021-08-02T00:00:00"/>
        <d v="2020-05-15T00:00:00"/>
        <d v="2023-12-23T00:00:00"/>
        <d v="2022-06-21T00:00:00"/>
        <d v="2021-01-03T00:00:00"/>
        <d v="2023-10-03T00:00:00"/>
        <d v="2019-08-18T00:00:00"/>
        <d v="2019-11-03T00:00:00"/>
        <d v="2023-05-18T00:00:00"/>
        <d v="2023-05-24T00:00:00"/>
        <d v="2020-01-17T00:00:00"/>
        <d v="2021-01-07T00:00:00"/>
        <d v="2019-10-14T00:00:00"/>
        <d v="2021-12-19T00:00:00"/>
        <d v="2022-03-12T00:00:00"/>
        <d v="2021-01-17T00:00:00"/>
        <d v="2021-09-15T00:00:00"/>
        <d v="2020-01-27T00:00:00"/>
        <d v="2022-06-24T00:00:00"/>
        <d v="2021-06-09T00:00:00"/>
        <d v="2020-08-23T00:00:00"/>
        <d v="2022-10-12T00:00:00"/>
        <d v="2021-12-01T00:00:00"/>
        <d v="2020-05-04T00:00:00"/>
        <d v="2023-09-09T00:00:00"/>
        <d v="2019-07-19T00:00:00"/>
        <d v="2024-04-05T00:00:00"/>
        <d v="2019-06-15T00:00:00"/>
        <d v="2022-10-29T00:00:00"/>
        <d v="2022-04-08T00:00:00"/>
        <d v="2023-08-17T00:00:00"/>
        <d v="2023-11-05T00:00:00"/>
        <d v="2023-04-09T00:00:00"/>
        <d v="2022-09-21T00:00:00"/>
        <d v="2021-01-21T00:00:00"/>
        <d v="2020-07-10T00:00:00"/>
        <d v="2019-11-06T00:00:00"/>
        <d v="2024-04-07T00:00:00"/>
        <d v="2022-07-06T00:00:00"/>
        <d v="2022-08-03T00:00:00"/>
        <d v="2020-05-08T00:00:00"/>
        <d v="2019-12-09T00:00:00"/>
        <d v="2019-11-21T00:00:00"/>
        <d v="2023-01-07T00:00:00"/>
        <d v="2024-02-06T00:00:00"/>
        <d v="2020-01-30T00:00:00"/>
        <d v="2022-10-24T00:00:00"/>
        <d v="2022-01-09T00:00:00"/>
        <d v="2023-12-28T00:00:00"/>
        <d v="2021-09-16T00:00:00"/>
        <d v="2023-07-24T00:00:00"/>
        <d v="2021-11-13T00:00:00"/>
        <d v="2023-10-11T00:00:00"/>
        <d v="2021-01-30T00:00:00"/>
        <d v="2021-11-21T00:00:00"/>
        <d v="2024-03-02T00:00:00"/>
        <d v="2020-12-04T00:00:00"/>
        <d v="2020-08-26T00:00:00"/>
        <d v="2023-11-12T00:00:00"/>
        <d v="2020-05-30T00:00:00"/>
        <d v="2023-05-12T00:00:00"/>
        <d v="2022-07-07T00:00:00"/>
        <d v="2020-09-24T00:00:00"/>
        <d v="2023-08-19T00:00:00"/>
        <d v="2023-05-16T00:00:00"/>
        <d v="2022-08-22T00:00:00"/>
        <d v="2022-06-17T00:00:00"/>
        <d v="2022-11-05T00:00:00"/>
        <d v="2021-09-10T00:00:00"/>
        <d v="2022-09-06T00:00:00"/>
        <d v="2021-04-17T00:00:00"/>
        <d v="2019-08-19T00:00:00"/>
        <d v="2024-03-24T00:00:00"/>
        <d v="2022-12-10T00:00:00"/>
        <d v="2022-09-14T00:00:00"/>
        <d v="2022-10-18T00:00:00"/>
        <d v="2022-07-08T00:00:00"/>
        <d v="2023-06-25T00:00:00"/>
        <d v="2019-07-09T00:00:00"/>
        <d v="2021-05-14T00:00:00"/>
        <d v="2024-01-15T00:00:00"/>
        <d v="2019-09-30T00:00:00"/>
        <d v="2021-03-05T00:00:00"/>
        <d v="2023-06-08T00:00:00"/>
        <d v="2022-05-13T00:00:00"/>
        <d v="2023-08-25T00:00:00"/>
        <d v="2019-06-02T00:00:00"/>
        <d v="2021-11-19T00:00:00"/>
        <d v="2019-12-02T00:00:00"/>
        <d v="2020-08-21T00:00:00"/>
        <d v="2021-02-12T00:00:00"/>
        <d v="2024-01-13T00:00:00"/>
        <d v="2021-12-26T00:00:00"/>
        <d v="2021-07-03T00:00:00"/>
        <d v="2020-05-31T00:00:00"/>
        <d v="2020-10-26T00:00:00"/>
        <d v="2021-06-03T00:00:00"/>
        <d v="2020-10-24T00:00:00"/>
        <d v="2019-08-27T00:00:00"/>
        <d v="2021-11-30T00:00:00"/>
        <d v="2023-10-15T00:00:00"/>
        <d v="2024-03-17T00:00:00"/>
        <d v="2019-10-13T00:00:00"/>
        <d v="2020-03-02T00:00:00"/>
        <d v="2019-11-05T00:00:00"/>
        <d v="2021-02-07T00:00:00"/>
        <d v="2021-10-25T00:00:00"/>
        <d v="2022-07-24T00:00:00"/>
        <d v="2020-03-04T00:00:00"/>
        <d v="2021-08-01T00:00:00"/>
        <d v="2020-01-24T00:00:00"/>
        <d v="2021-07-30T00:00:00"/>
        <d v="2024-01-04T00:00:00"/>
        <d v="2024-01-05T00:00:00"/>
        <d v="2020-08-11T00:00:00"/>
        <d v="2022-04-02T00:00:00"/>
        <d v="2020-06-03T00:00:00"/>
        <d v="2019-08-16T00:00:00"/>
        <d v="2024-02-22T00:00:00"/>
        <d v="2021-05-06T00:00:00"/>
        <d v="2021-10-27T00:00:00"/>
        <d v="2020-09-01T00:00:00"/>
        <d v="2021-05-26T00:00:00"/>
        <d v="2022-06-22T00:00:00"/>
        <d v="2023-05-17T00:00:00"/>
        <d v="2021-06-23T00:00:00"/>
        <d v="2023-11-17T00:00:00"/>
        <d v="2020-10-11T00:00:00"/>
        <d v="2021-08-10T00:00:00"/>
        <d v="2023-08-29T00:00:00"/>
        <d v="2020-02-27T00:00:00"/>
        <d v="2021-07-07T00:00:00"/>
        <d v="2022-06-03T00:00:00"/>
        <d v="2020-02-20T00:00:00"/>
        <d v="2021-02-05T00:00:00"/>
        <d v="2023-12-06T00:00:00"/>
        <d v="2021-12-21T00:00:00"/>
        <d v="2023-09-03T00:00:00"/>
        <d v="2020-10-18T00:00:00"/>
        <d v="2023-08-28T00:00:00"/>
        <d v="2019-11-17T00:00:00"/>
        <d v="2020-11-22T00:00:00"/>
        <d v="2022-02-13T00:00:00"/>
        <d v="2019-05-16T00:00:00"/>
        <d v="2021-08-04T00:00:00"/>
        <d v="2020-01-03T00:00:00"/>
        <d v="2022-09-13T00:00:00"/>
        <d v="2020-12-19T00:00:00"/>
        <d v="2023-03-31T00:00:00"/>
        <d v="2023-07-31T00:00:00"/>
        <d v="2023-12-16T00:00:00"/>
        <d v="2020-12-05T00:00:00"/>
        <d v="2021-11-11T00:00:00"/>
        <d v="2019-09-11T00:00:00"/>
        <d v="2020-12-15T00:00:00"/>
        <d v="2022-12-08T00:00:00"/>
        <d v="2021-07-15T00:00:00"/>
        <d v="2022-06-16T00:00:00"/>
        <d v="2024-02-09T00:00:00"/>
        <d v="2024-03-04T00:00:00"/>
        <d v="2022-02-11T00:00:00"/>
        <d v="2022-02-08T00:00:00"/>
        <d v="2023-06-15T00:00:00"/>
        <d v="2021-10-11T00:00:00"/>
        <d v="2021-12-12T00:00:00"/>
        <m/>
      </sharedItems>
      <fieldGroup par="17"/>
    </cacheField>
    <cacheField name="Doctor" numFmtId="0">
      <sharedItems containsBlank="1"/>
    </cacheField>
    <cacheField name="Hospital" numFmtId="0">
      <sharedItems containsBlank="1" count="200">
        <s v="Sons and Miller"/>
        <s v="Kim Inc"/>
        <s v="Cook PLC"/>
        <s v="Hernandez Rogers and Vang,"/>
        <s v="White-White"/>
        <s v="Nunez-Humphrey"/>
        <s v="Group Middleton"/>
        <s v="Powell Robinson and Valdez,"/>
        <s v="Sons Rich and"/>
        <s v="Padilla-Walker"/>
        <s v="Schaefer-Porter"/>
        <s v="Lyons-Blair"/>
        <s v="Powers Miller, and Flores"/>
        <s v="Rivera-Gutierrez"/>
        <s v="Morris-Arellano"/>
        <s v="Cline-Williams"/>
        <s v="Cervantes-Wells"/>
        <s v="Torres, and Harrison Jones"/>
        <s v="Houston PLC"/>
        <s v="Hammond Ltd"/>
        <s v="Jones LLC"/>
        <s v="Williams-Davis"/>
        <s v="Clark-Mayo"/>
        <s v="and Sons Smith"/>
        <s v="Wilson Group"/>
        <s v="Garner-Bowman"/>
        <s v="Brown, and Jones Weaver"/>
        <s v="Serrano-Dixon"/>
        <s v="Gardner-Miller"/>
        <s v="Guerrero-Boone"/>
        <s v="Hart Ltd"/>
        <s v="Cruz-Santiago"/>
        <s v="Group Duncan"/>
        <s v="Lopez-Phillips"/>
        <s v="Poole Inc"/>
        <s v="Sons and Cox"/>
        <s v="LLC Martin"/>
        <s v="Espinoza-Stone"/>
        <s v="and Garcia Morris Cunningham,"/>
        <s v="Walton-Meyer"/>
        <s v="PLC Young"/>
        <s v="Meadows Group"/>
        <s v="and Howell Brooks, Rogers"/>
        <s v="and Mcclure White Boone,"/>
        <s v="Gates Brown, and Stuart"/>
        <s v="Group Armstrong"/>
        <s v="Ltd Schwartz"/>
        <s v="Nelson-Phillips"/>
        <s v="Knight and Nguyen, Riggs"/>
        <s v="Lopez PLC"/>
        <s v="Fernandez and Phillips, Singh"/>
        <s v="Beck-Galloway"/>
        <s v="Decker Glover, and Christensen"/>
        <s v="Nelson Walker Myers, and"/>
        <s v="Mitchell-Navarro"/>
        <s v="Group Delgado"/>
        <s v="and Montes Graves, Thomas"/>
        <s v="Hall-Bentley"/>
        <s v="Taylor-Nguyen"/>
        <s v="Hunter-Grant"/>
        <s v="Miller-Lawson"/>
        <s v="Scott-Kelly"/>
        <s v="Moss and Ferguson, Baker"/>
        <s v="and Mason Smith Chase,"/>
        <s v="Khan, and Rodriguez Fischer"/>
        <s v="Sons Watson and"/>
        <s v="Rhodes-Carey"/>
        <s v="Bullock-Ramsey"/>
        <s v="Clark Brown, and Myers"/>
        <s v="Jackson and Lane, Dillon"/>
        <s v="Turner Cook, Banks and"/>
        <s v="Miles, and Weaver Hudson"/>
        <s v="Evans Ltd"/>
        <s v="Sons and Schaefer"/>
        <s v="Sons Hodges and"/>
        <s v="Simpson-Mccall"/>
        <s v="Lin Thompson Wells, and"/>
        <s v="Jones-Scott"/>
        <s v="Howe-Kelly"/>
        <s v="and Sons Reyes"/>
        <s v="Shaw-Young"/>
        <s v="Inc Skinner"/>
        <s v="Clark-Johnson"/>
        <s v="Perez and Sons"/>
        <s v="Kemp LLC"/>
        <s v="LLC Dixon"/>
        <s v="and Morales Jennings Cook,"/>
        <s v="Group Hood"/>
        <s v="Lindsey Inc"/>
        <s v="Ltd Wang"/>
        <s v="Inc Ford"/>
        <s v="Dean-Hawkins"/>
        <s v="Walter PLC"/>
        <s v="Sons Horn and"/>
        <s v="Powell Ward, and Mercado"/>
        <s v="James Ltd"/>
        <s v="Kemp-Munoz"/>
        <s v="Henderson-Taylor"/>
        <s v="Parsons, Hartman Martinez and"/>
        <s v="Luna Inc"/>
        <s v="Hernandez, Ritter and Huffman"/>
        <s v="Reed LLC"/>
        <s v="Thompson-Walker"/>
        <s v="Group Nguyen"/>
        <s v="Newton-White"/>
        <s v="Ltd Thomas"/>
        <s v="Pierce Ward, Torres and"/>
        <s v="Evans and Hall Schneider,"/>
        <s v="Stout-Brown"/>
        <s v="Cruz Ltd"/>
        <s v="Stewart Sons and"/>
        <s v="Hall Roberts and Duarte,"/>
        <s v="Ramirez-Robinson"/>
        <s v="Garcia, and Bishop Hernandez"/>
        <s v="and Brown Oneal, Shah"/>
        <s v="Group White"/>
        <s v="Hughes and Erickson, Anderson"/>
        <s v="Lane-Kelly"/>
        <s v="Cox-Hester"/>
        <s v="Jarvis Scott, Fleming and"/>
        <s v="Cline-Carpenter"/>
        <s v="Johnson, and Ross Harris"/>
        <s v="Kim Rosario, and Hammond"/>
        <s v="PLC Jimenez"/>
        <s v="Cantu-Berry"/>
        <s v="Wright-Alexander"/>
        <s v="Guzman-Carlson"/>
        <s v="Meyer-Hill"/>
        <s v="Dudley-Atkinson"/>
        <s v="Kelly-Allen"/>
        <s v="Lewis Livingston, Lowe and"/>
        <s v="Rodriguez Ltd"/>
        <s v="and Johnson Moore, Branch"/>
        <s v="Holmes and Hughes, Phillips"/>
        <s v="and Smith, Tucker Cross"/>
        <s v="Sons and Lozano"/>
        <s v="Russell Ltd"/>
        <s v="Jones Ltd"/>
        <s v="Gordon-Ward"/>
        <s v="Barnes and Sons"/>
        <s v="Levine-Miller"/>
        <s v="and Marquez Silva Smith,"/>
        <s v="Jackson-Copeland"/>
        <s v="Perez and Ochoa White,"/>
        <s v="Ltd Conrad"/>
        <s v="Hampton-Thomas"/>
        <s v="Thomas-Kelley"/>
        <s v="Myers-Monroe"/>
        <s v="and Ford Lee, Rodriguez"/>
        <s v="Sons Garcia and"/>
        <s v="Perry Little, and Moore"/>
        <s v="Anderson Group"/>
        <s v="Rodriguez and Sons"/>
        <s v="Thomas-Huber"/>
        <s v="Robinson Inc"/>
        <s v="Wood-Mathews"/>
        <s v="Walker and Gardner Fernandez,"/>
        <s v="Smith and Johnston, Collins"/>
        <s v="Sons Miller and"/>
        <s v="Donaldson-Frey"/>
        <s v="Brown-Yoder"/>
        <s v="Morgan Rios and Keller,"/>
        <s v="Gonzalez-King"/>
        <s v="Wagner Ltd"/>
        <s v="and Brown White, Jones"/>
        <s v="James-Smith"/>
        <s v="Hanson Group"/>
        <s v="Mcclain-Reed"/>
        <s v="Young-Smith"/>
        <s v="Hart-Brock"/>
        <s v="Jones and Jones, Turner"/>
        <s v="Spears-Shah"/>
        <s v="and Anderson Smith Sanchez,"/>
        <s v="Tran, and Ferrell Garcia"/>
        <s v="Ltd Walton"/>
        <s v="Group Rodriguez"/>
        <s v="Carr LLC"/>
        <s v="Rodriguez-Guerra"/>
        <s v="Sullivan Mullins, Macias and"/>
        <s v="Ballard PLC"/>
        <s v="Liu-Wilson"/>
        <s v="LLC Lewis"/>
        <s v="Stokes Chambers and Martin,"/>
        <s v="Hernandez-Green"/>
        <s v="Inc Lee"/>
        <s v="Wilkins Group"/>
        <s v="Valentine Ltd"/>
        <s v="Alvarado-Deleon"/>
        <s v="Alexander and Jensen Andrews,"/>
        <s v="and Black, Henson Rhodes"/>
        <s v="Sons and Marshall"/>
        <s v="Rodriguez-Franco"/>
        <s v="Fritz Henderson Stanton, and"/>
        <s v="West-Young"/>
        <s v="Ltd Solis"/>
        <s v="Mcneil-Blake"/>
        <s v="Moore-Waters"/>
        <s v="Group Scott"/>
        <s v="and Simmons Sons"/>
        <m/>
      </sharedItems>
    </cacheField>
    <cacheField name="Insurance Provider" numFmtId="0">
      <sharedItems containsBlank="1" count="6">
        <s v="Blue Cross"/>
        <s v="Medicare"/>
        <s v="Aetna"/>
        <s v="UnitedHealthcare"/>
        <s v="Cigna"/>
        <m/>
      </sharedItems>
    </cacheField>
    <cacheField name="Billing Amount" numFmtId="0">
      <sharedItems containsString="0" containsBlank="1" containsNumber="1" minValue="-502.50781269999999" maxValue="50142.026949999999"/>
    </cacheField>
    <cacheField name="Room Number" numFmtId="0">
      <sharedItems containsString="0" containsBlank="1" containsNumber="1" containsInteger="1" minValue="102" maxValue="500"/>
    </cacheField>
    <cacheField name="Admission Type" numFmtId="0">
      <sharedItems containsBlank="1" count="4">
        <s v="Urgent"/>
        <s v="Emergency"/>
        <s v="Elective"/>
        <m/>
      </sharedItems>
    </cacheField>
    <cacheField name="Discharge Date" numFmtId="0">
      <sharedItems containsNonDate="0" containsDate="1" containsString="0" containsBlank="1" minDate="2019-05-31T00:00:00" maxDate="2024-05-05T00:00:00" count="185">
        <d v="2024-02-02T00:00:00"/>
        <d v="2019-08-26T00:00:00"/>
        <d v="2022-10-07T00:00:00"/>
        <d v="2020-12-18T00:00:00"/>
        <d v="2022-10-09T00:00:00"/>
        <d v="2023-12-24T00:00:00"/>
        <d v="2020-11-15T00:00:00"/>
        <d v="2022-01-07T00:00:00"/>
        <d v="2020-07-14T00:00:00"/>
        <d v="2021-06-22T00:00:00"/>
        <d v="2020-04-22T00:00:00"/>
        <d v="2023-09-05T00:00:00"/>
        <d v="2019-12-28T00:00:00"/>
        <d v="2020-06-19T00:00:00"/>
        <d v="2021-10-13T00:00:00"/>
        <d v="2023-01-11T00:00:00"/>
        <d v="2020-04-02T00:00:00"/>
        <d v="2021-03-14T00:00:00"/>
        <d v="2022-11-22T00:00:00"/>
        <d v="2023-07-02T00:00:00"/>
        <d v="2020-02-09T00:00:00"/>
        <d v="2022-06-10T00:00:00"/>
        <d v="2021-08-12T00:00:00"/>
        <d v="2020-06-08T00:00:00"/>
        <d v="2020-05-20T00:00:00"/>
        <d v="2024-01-19T00:00:00"/>
        <d v="2022-06-30T00:00:00"/>
        <d v="2021-01-16T00:00:00"/>
        <d v="2023-10-12T00:00:00"/>
        <d v="2019-09-01T00:00:00"/>
        <d v="2019-11-29T00:00:00"/>
        <d v="2023-06-15T00:00:00"/>
        <d v="2023-06-03T00:00:00"/>
        <d v="2020-02-10T00:00:00"/>
        <d v="2021-01-26T00:00:00"/>
        <d v="2019-10-19T00:00:00"/>
        <d v="2022-01-16T00:00:00"/>
        <d v="2022-03-29T00:00:00"/>
        <d v="2021-01-29T00:00:00"/>
        <d v="2021-10-05T00:00:00"/>
        <d v="2022-07-18T00:00:00"/>
        <d v="2021-07-01T00:00:00"/>
        <d v="2020-09-08T00:00:00"/>
        <d v="2022-11-02T00:00:00"/>
        <d v="2021-12-09T00:00:00"/>
        <d v="2020-05-13T00:00:00"/>
        <d v="2023-09-23T00:00:00"/>
        <d v="2019-07-29T00:00:00"/>
        <d v="2024-04-22T00:00:00"/>
        <d v="2019-07-05T00:00:00"/>
        <d v="2022-11-20T00:00:00"/>
        <d v="2022-04-13T00:00:00"/>
        <d v="2023-09-11T00:00:00"/>
        <d v="2023-11-07T00:00:00"/>
        <d v="2023-04-21T00:00:00"/>
        <d v="2022-09-25T00:00:00"/>
        <d v="2021-02-06T00:00:00"/>
        <d v="2020-07-20T00:00:00"/>
        <d v="2019-11-22T00:00:00"/>
        <d v="2024-05-04T00:00:00"/>
        <d v="2022-08-10T00:00:00"/>
        <d v="2020-06-01T00:00:00"/>
        <d v="2019-12-21T00:00:00"/>
        <d v="2019-12-08T00:00:00"/>
        <d v="2023-01-27T00:00:00"/>
        <d v="2024-02-10T00:00:00"/>
        <d v="2020-02-12T00:00:00"/>
        <d v="2022-11-07T00:00:00"/>
        <d v="2022-01-15T00:00:00"/>
        <d v="2024-01-02T00:00:00"/>
        <d v="2021-10-14T00:00:00"/>
        <d v="2023-08-11T00:00:00"/>
        <d v="2021-12-07T00:00:00"/>
        <d v="2023-10-27T00:00:00"/>
        <d v="2021-02-04T00:00:00"/>
        <d v="2021-12-05T00:00:00"/>
        <d v="2024-03-26T00:00:00"/>
        <d v="2020-12-08T00:00:00"/>
        <d v="2020-08-27T00:00:00"/>
        <d v="2023-12-12T00:00:00"/>
        <d v="2020-06-14T00:00:00"/>
        <d v="2023-06-10T00:00:00"/>
        <d v="2022-07-23T00:00:00"/>
        <d v="2020-10-08T00:00:00"/>
        <d v="2023-08-25T00:00:00"/>
        <d v="2023-06-01T00:00:00"/>
        <d v="2022-09-07T00:00:00"/>
        <d v="2022-06-28T00:00:00"/>
        <d v="2022-11-25T00:00:00"/>
        <d v="2021-09-18T00:00:00"/>
        <d v="2022-09-27T00:00:00"/>
        <d v="2021-05-10T00:00:00"/>
        <d v="2024-04-14T00:00:00"/>
        <d v="2022-12-31T00:00:00"/>
        <d v="2022-09-18T00:00:00"/>
        <d v="2022-11-11T00:00:00"/>
        <d v="2021-11-21T00:00:00"/>
        <d v="2022-07-25T00:00:00"/>
        <d v="2023-07-11T00:00:00"/>
        <d v="2019-08-05T00:00:00"/>
        <d v="2021-06-03T00:00:00"/>
        <d v="2024-02-07T00:00:00"/>
        <d v="2019-10-15T00:00:00"/>
        <d v="2021-03-20T00:00:00"/>
        <d v="2021-06-06T00:00:00"/>
        <d v="2023-07-05T00:00:00"/>
        <d v="2022-05-20T00:00:00"/>
        <d v="2022-10-14T00:00:00"/>
        <d v="2023-09-18T00:00:00"/>
        <d v="2019-06-04T00:00:00"/>
        <d v="2021-12-12T00:00:00"/>
        <d v="2019-12-13T00:00:00"/>
        <d v="2020-09-06T00:00:00"/>
        <d v="2021-03-11T00:00:00"/>
        <d v="2024-01-22T00:00:00"/>
        <d v="2022-01-12T00:00:00"/>
        <d v="2021-07-31T00:00:00"/>
        <d v="2020-11-17T00:00:00"/>
        <d v="2020-11-13T00:00:00"/>
        <d v="2019-09-06T00:00:00"/>
        <d v="2023-11-08T00:00:00"/>
        <d v="2024-03-28T00:00:00"/>
        <d v="2019-10-16T00:00:00"/>
        <d v="2020-03-07T00:00:00"/>
        <d v="2019-11-23T00:00:00"/>
        <d v="2021-03-05T00:00:00"/>
        <d v="2021-11-22T00:00:00"/>
        <d v="2022-07-31T00:00:00"/>
        <d v="2020-03-05T00:00:00"/>
        <d v="2021-08-19T00:00:00"/>
        <d v="2021-08-13T00:00:00"/>
        <d v="2024-02-03T00:00:00"/>
        <d v="2024-02-04T00:00:00"/>
        <d v="2020-09-04T00:00:00"/>
        <d v="2022-06-24T00:00:00"/>
        <d v="2022-04-09T00:00:00"/>
        <d v="2020-06-22T00:00:00"/>
        <d v="2019-08-21T00:00:00"/>
        <d v="2024-02-24T00:00:00"/>
        <d v="2021-05-29T00:00:00"/>
        <d v="2021-11-04T00:00:00"/>
        <d v="2020-09-17T00:00:00"/>
        <d v="2022-07-22T00:00:00"/>
        <d v="2023-05-31T00:00:00"/>
        <d v="2021-07-09T00:00:00"/>
        <d v="2023-11-25T00:00:00"/>
        <d v="2020-10-21T00:00:00"/>
        <d v="2021-08-27T00:00:00"/>
        <d v="2023-09-07T00:00:00"/>
        <d v="2020-03-26T00:00:00"/>
        <d v="2021-07-15T00:00:00"/>
        <d v="2022-06-27T00:00:00"/>
        <d v="2020-03-01T00:00:00"/>
        <d v="2020-11-02T00:00:00"/>
        <d v="2023-12-19T00:00:00"/>
        <d v="2021-12-30T00:00:00"/>
        <d v="2023-09-30T00:00:00"/>
        <d v="2020-11-10T00:00:00"/>
        <d v="2021-07-24T00:00:00"/>
        <d v="2023-09-16T00:00:00"/>
        <d v="2019-12-01T00:00:00"/>
        <d v="2020-12-17T00:00:00"/>
        <d v="2021-12-08T00:00:00"/>
        <d v="2022-02-20T00:00:00"/>
        <d v="2019-05-31T00:00:00"/>
        <d v="2021-08-26T00:00:00"/>
        <d v="2020-01-27T00:00:00"/>
        <d v="2021-01-09T00:00:00"/>
        <d v="2023-04-29T00:00:00"/>
        <d v="2020-05-28T00:00:00"/>
        <d v="2023-08-02T00:00:00"/>
        <d v="2024-01-15T00:00:00"/>
        <d v="2021-12-04T00:00:00"/>
        <d v="2019-09-15T00:00:00"/>
        <d v="2021-01-01T00:00:00"/>
        <d v="2023-01-02T00:00:00"/>
        <d v="2021-08-05T00:00:00"/>
        <d v="2022-07-04T00:00:00"/>
        <d v="2024-02-19T00:00:00"/>
        <d v="2024-03-18T00:00:00"/>
        <d v="2022-02-25T00:00:00"/>
        <d v="2022-02-17T00:00:00"/>
        <d v="2023-06-30T00:00:00"/>
        <d v="2021-10-24T00:00:00"/>
        <m/>
      </sharedItems>
      <fieldGroup par="20"/>
    </cacheField>
    <cacheField name="Medication" numFmtId="0">
      <sharedItems containsBlank="1" count="6">
        <s v="Paracetamol"/>
        <s v="Ibuprofen"/>
        <s v="Aspirin"/>
        <s v="Penicillin"/>
        <s v="Lipitor"/>
        <m/>
      </sharedItems>
    </cacheField>
    <cacheField name="Test Results" numFmtId="0">
      <sharedItems containsBlank="1" count="4">
        <s v="Normal"/>
        <s v="Inconclusive"/>
        <s v="Abnormal"/>
        <m/>
      </sharedItems>
    </cacheField>
    <cacheField name="Months (Date of Admission)" numFmtId="0" databaseField="0">
      <fieldGroup base="5">
        <rangePr groupBy="months" startDate="2019-05-16T00:00:00" endDate="2024-04-08T00:00:00"/>
        <groupItems count="14">
          <s v="&lt;16-05-2019"/>
          <s v="Jan"/>
          <s v="Feb"/>
          <s v="Mar"/>
          <s v="Apr"/>
          <s v="May"/>
          <s v="Jun"/>
          <s v="Jul"/>
          <s v="Aug"/>
          <s v="Sep"/>
          <s v="Oct"/>
          <s v="Nov"/>
          <s v="Dec"/>
          <s v="&gt;08-04-2024"/>
        </groupItems>
      </fieldGroup>
    </cacheField>
    <cacheField name="Quarters (Date of Admission)" numFmtId="0" databaseField="0">
      <fieldGroup base="5">
        <rangePr groupBy="quarters" startDate="2019-05-16T00:00:00" endDate="2024-04-08T00:00:00"/>
        <groupItems count="6">
          <s v="&lt;16-05-2019"/>
          <s v="Qtr1"/>
          <s v="Qtr2"/>
          <s v="Qtr3"/>
          <s v="Qtr4"/>
          <s v="&gt;08-04-2024"/>
        </groupItems>
      </fieldGroup>
    </cacheField>
    <cacheField name="Years (Date of Admission)" numFmtId="0" databaseField="0">
      <fieldGroup base="5">
        <rangePr groupBy="years" startDate="2019-05-16T00:00:00" endDate="2024-04-08T00:00:00"/>
        <groupItems count="8">
          <s v="&lt;16-05-2019"/>
          <s v="2019"/>
          <s v="2020"/>
          <s v="2021"/>
          <s v="2022"/>
          <s v="2023"/>
          <s v="2024"/>
          <s v="&gt;08-04-2024"/>
        </groupItems>
      </fieldGroup>
    </cacheField>
    <cacheField name="Months (Discharge Date)" numFmtId="0" databaseField="0">
      <fieldGroup base="12">
        <rangePr groupBy="months" startDate="2019-05-31T00:00:00" endDate="2024-05-05T00:00:00"/>
        <groupItems count="14">
          <s v="&lt;31-05-2019"/>
          <s v="Jan"/>
          <s v="Feb"/>
          <s v="Mar"/>
          <s v="Apr"/>
          <s v="May"/>
          <s v="Jun"/>
          <s v="Jul"/>
          <s v="Aug"/>
          <s v="Sep"/>
          <s v="Oct"/>
          <s v="Nov"/>
          <s v="Dec"/>
          <s v="&gt;05-05-2024"/>
        </groupItems>
      </fieldGroup>
    </cacheField>
    <cacheField name="Quarters (Discharge Date)" numFmtId="0" databaseField="0">
      <fieldGroup base="12">
        <rangePr groupBy="quarters" startDate="2019-05-31T00:00:00" endDate="2024-05-05T00:00:00"/>
        <groupItems count="6">
          <s v="&lt;31-05-2019"/>
          <s v="Qtr1"/>
          <s v="Qtr2"/>
          <s v="Qtr3"/>
          <s v="Qtr4"/>
          <s v="&gt;05-05-2024"/>
        </groupItems>
      </fieldGroup>
    </cacheField>
    <cacheField name="Years (Discharge Date)" numFmtId="0" databaseField="0">
      <fieldGroup base="12">
        <rangePr groupBy="years" startDate="2019-05-31T00:00:00" endDate="2024-05-05T00:00:00"/>
        <groupItems count="8">
          <s v="&lt;31-05-2019"/>
          <s v="2019"/>
          <s v="2020"/>
          <s v="2021"/>
          <s v="2022"/>
          <s v="2023"/>
          <s v="2024"/>
          <s v="&gt;05-05-2024"/>
        </groupItems>
      </fieldGroup>
    </cacheField>
  </cacheFields>
  <extLst>
    <ext xmlns:x14="http://schemas.microsoft.com/office/spreadsheetml/2009/9/main" uri="{725AE2AE-9491-48be-B2B4-4EB974FC3084}">
      <x14:pivotCacheDefinition pivotCacheId="14438952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refreshedDate="45985.646002430556" createdVersion="8" refreshedVersion="8" minRefreshableVersion="3" recordCount="199" xr:uid="{631271DA-DE8F-4EA7-B2DB-24B1119D01A5}">
  <cacheSource type="worksheet">
    <worksheetSource ref="A1:O200" sheet="healthcare_dataset"/>
  </cacheSource>
  <cacheFields count="15">
    <cacheField name="Name" numFmtId="0">
      <sharedItems/>
    </cacheField>
    <cacheField name="Age" numFmtId="0">
      <sharedItems containsSemiMixedTypes="0" containsString="0" containsNumber="1" containsInteger="1" minValue="18" maxValue="85"/>
    </cacheField>
    <cacheField name="Gender" numFmtId="0">
      <sharedItems/>
    </cacheField>
    <cacheField name="Blood Type" numFmtId="0">
      <sharedItems/>
    </cacheField>
    <cacheField name="Medical Condition" numFmtId="0">
      <sharedItems/>
    </cacheField>
    <cacheField name="Date of Admission" numFmtId="14">
      <sharedItems containsSemiMixedTypes="0" containsNonDate="0" containsDate="1" containsString="0" minDate="2019-05-16T00:00:00" maxDate="2024-04-08T00:00:00" count="188">
        <d v="2024-01-31T00:00:00"/>
        <d v="2019-08-20T00:00:00"/>
        <d v="2022-09-22T00:00:00"/>
        <d v="2020-11-18T00:00:00"/>
        <d v="2022-09-19T00:00:00"/>
        <d v="2023-12-20T00:00:00"/>
        <d v="2020-11-03T00:00:00"/>
        <d v="2021-12-28T00:00:00"/>
        <d v="2020-07-01T00:00:00"/>
        <d v="2021-05-23T00:00:00"/>
        <d v="2020-04-19T00:00:00"/>
        <d v="2023-08-13T00:00:00"/>
        <d v="2019-12-12T00:00:00"/>
        <d v="2020-05-22T00:00:00"/>
        <d v="2021-10-08T00:00:00"/>
        <d v="2023-01-01T00:00:00"/>
        <d v="2020-06-23T00:00:00"/>
        <d v="2020-03-08T00:00:00"/>
        <d v="2021-03-04T00:00:00"/>
        <d v="2022-11-15T00:00:00"/>
        <d v="2023-06-28T00:00:00"/>
        <d v="2020-01-21T00:00:00"/>
        <d v="2022-05-12T00:00:00"/>
        <d v="2021-08-02T00:00:00"/>
        <d v="2020-05-15T00:00:00"/>
        <d v="2023-12-23T00:00:00"/>
        <d v="2022-06-21T00:00:00"/>
        <d v="2021-01-03T00:00:00"/>
        <d v="2023-10-03T00:00:00"/>
        <d v="2019-08-18T00:00:00"/>
        <d v="2019-11-03T00:00:00"/>
        <d v="2023-05-18T00:00:00"/>
        <d v="2023-05-24T00:00:00"/>
        <d v="2020-01-17T00:00:00"/>
        <d v="2021-01-07T00:00:00"/>
        <d v="2019-10-14T00:00:00"/>
        <d v="2021-12-19T00:00:00"/>
        <d v="2022-03-12T00:00:00"/>
        <d v="2021-01-17T00:00:00"/>
        <d v="2021-09-15T00:00:00"/>
        <d v="2020-01-27T00:00:00"/>
        <d v="2022-06-24T00:00:00"/>
        <d v="2021-06-09T00:00:00"/>
        <d v="2020-08-23T00:00:00"/>
        <d v="2022-10-12T00:00:00"/>
        <d v="2021-12-01T00:00:00"/>
        <d v="2020-05-04T00:00:00"/>
        <d v="2023-09-09T00:00:00"/>
        <d v="2019-07-19T00:00:00"/>
        <d v="2024-04-05T00:00:00"/>
        <d v="2019-06-15T00:00:00"/>
        <d v="2022-10-29T00:00:00"/>
        <d v="2022-04-08T00:00:00"/>
        <d v="2023-08-17T00:00:00"/>
        <d v="2023-11-05T00:00:00"/>
        <d v="2023-04-09T00:00:00"/>
        <d v="2022-09-21T00:00:00"/>
        <d v="2021-01-21T00:00:00"/>
        <d v="2020-07-10T00:00:00"/>
        <d v="2019-11-06T00:00:00"/>
        <d v="2024-04-07T00:00:00"/>
        <d v="2022-07-06T00:00:00"/>
        <d v="2022-08-03T00:00:00"/>
        <d v="2020-05-08T00:00:00"/>
        <d v="2019-12-09T00:00:00"/>
        <d v="2019-11-21T00:00:00"/>
        <d v="2023-01-07T00:00:00"/>
        <d v="2024-02-06T00:00:00"/>
        <d v="2020-01-30T00:00:00"/>
        <d v="2022-10-24T00:00:00"/>
        <d v="2022-01-09T00:00:00"/>
        <d v="2023-12-28T00:00:00"/>
        <d v="2021-09-16T00:00:00"/>
        <d v="2023-07-24T00:00:00"/>
        <d v="2021-11-13T00:00:00"/>
        <d v="2023-10-11T00:00:00"/>
        <d v="2021-01-30T00:00:00"/>
        <d v="2021-11-21T00:00:00"/>
        <d v="2024-03-02T00:00:00"/>
        <d v="2020-12-04T00:00:00"/>
        <d v="2020-08-26T00:00:00"/>
        <d v="2023-11-12T00:00:00"/>
        <d v="2020-05-30T00:00:00"/>
        <d v="2023-05-12T00:00:00"/>
        <d v="2022-07-07T00:00:00"/>
        <d v="2020-09-24T00:00:00"/>
        <d v="2023-08-19T00:00:00"/>
        <d v="2023-05-16T00:00:00"/>
        <d v="2022-08-22T00:00:00"/>
        <d v="2022-06-17T00:00:00"/>
        <d v="2022-11-05T00:00:00"/>
        <d v="2021-09-10T00:00:00"/>
        <d v="2022-09-06T00:00:00"/>
        <d v="2021-04-17T00:00:00"/>
        <d v="2019-08-19T00:00:00"/>
        <d v="2024-03-24T00:00:00"/>
        <d v="2022-12-10T00:00:00"/>
        <d v="2022-09-14T00:00:00"/>
        <d v="2022-10-18T00:00:00"/>
        <d v="2022-07-08T00:00:00"/>
        <d v="2023-06-25T00:00:00"/>
        <d v="2019-07-09T00:00:00"/>
        <d v="2021-05-14T00:00:00"/>
        <d v="2024-01-15T00:00:00"/>
        <d v="2019-09-30T00:00:00"/>
        <d v="2021-03-05T00:00:00"/>
        <d v="2023-06-08T00:00:00"/>
        <d v="2022-05-13T00:00:00"/>
        <d v="2023-08-25T00:00:00"/>
        <d v="2019-06-02T00:00:00"/>
        <d v="2021-11-19T00:00:00"/>
        <d v="2019-12-02T00:00:00"/>
        <d v="2020-08-21T00:00:00"/>
        <d v="2021-02-12T00:00:00"/>
        <d v="2024-01-13T00:00:00"/>
        <d v="2021-12-26T00:00:00"/>
        <d v="2021-07-03T00:00:00"/>
        <d v="2020-05-31T00:00:00"/>
        <d v="2020-10-26T00:00:00"/>
        <d v="2021-06-03T00:00:00"/>
        <d v="2020-10-24T00:00:00"/>
        <d v="2019-08-27T00:00:00"/>
        <d v="2021-11-30T00:00:00"/>
        <d v="2023-10-15T00:00:00"/>
        <d v="2024-03-17T00:00:00"/>
        <d v="2019-10-13T00:00:00"/>
        <d v="2020-03-02T00:00:00"/>
        <d v="2019-11-05T00:00:00"/>
        <d v="2021-02-07T00:00:00"/>
        <d v="2021-10-25T00:00:00"/>
        <d v="2022-07-24T00:00:00"/>
        <d v="2020-03-04T00:00:00"/>
        <d v="2021-08-01T00:00:00"/>
        <d v="2020-01-24T00:00:00"/>
        <d v="2021-07-30T00:00:00"/>
        <d v="2024-01-04T00:00:00"/>
        <d v="2024-01-05T00:00:00"/>
        <d v="2020-08-11T00:00:00"/>
        <d v="2022-04-02T00:00:00"/>
        <d v="2020-06-03T00:00:00"/>
        <d v="2019-08-16T00:00:00"/>
        <d v="2024-02-22T00:00:00"/>
        <d v="2021-05-06T00:00:00"/>
        <d v="2021-10-27T00:00:00"/>
        <d v="2020-09-01T00:00:00"/>
        <d v="2021-05-26T00:00:00"/>
        <d v="2022-06-22T00:00:00"/>
        <d v="2023-05-17T00:00:00"/>
        <d v="2021-06-23T00:00:00"/>
        <d v="2023-11-17T00:00:00"/>
        <d v="2020-10-11T00:00:00"/>
        <d v="2021-08-10T00:00:00"/>
        <d v="2023-08-29T00:00:00"/>
        <d v="2020-02-27T00:00:00"/>
        <d v="2021-07-07T00:00:00"/>
        <d v="2022-06-03T00:00:00"/>
        <d v="2020-02-20T00:00:00"/>
        <d v="2021-02-05T00:00:00"/>
        <d v="2023-12-06T00:00:00"/>
        <d v="2021-12-21T00:00:00"/>
        <d v="2023-09-03T00:00:00"/>
        <d v="2020-10-18T00:00:00"/>
        <d v="2023-08-28T00:00:00"/>
        <d v="2019-11-17T00:00:00"/>
        <d v="2020-11-22T00:00:00"/>
        <d v="2022-02-13T00:00:00"/>
        <d v="2019-05-16T00:00:00"/>
        <d v="2021-08-04T00:00:00"/>
        <d v="2020-01-03T00:00:00"/>
        <d v="2022-09-13T00:00:00"/>
        <d v="2020-12-19T00:00:00"/>
        <d v="2023-03-31T00:00:00"/>
        <d v="2023-07-31T00:00:00"/>
        <d v="2023-12-16T00:00:00"/>
        <d v="2020-12-05T00:00:00"/>
        <d v="2021-11-11T00:00:00"/>
        <d v="2019-09-11T00:00:00"/>
        <d v="2020-12-15T00:00:00"/>
        <d v="2022-12-08T00:00:00"/>
        <d v="2021-07-15T00:00:00"/>
        <d v="2022-06-16T00:00:00"/>
        <d v="2024-02-09T00:00:00"/>
        <d v="2024-03-04T00:00:00"/>
        <d v="2022-02-11T00:00:00"/>
        <d v="2022-02-08T00:00:00"/>
        <d v="2023-06-15T00:00:00"/>
        <d v="2021-10-11T00:00:00"/>
        <d v="2021-12-12T00:00:00"/>
      </sharedItems>
    </cacheField>
    <cacheField name="Doctor" numFmtId="0">
      <sharedItems/>
    </cacheField>
    <cacheField name="Hospital" numFmtId="0">
      <sharedItems/>
    </cacheField>
    <cacheField name="Insurance Provider" numFmtId="0">
      <sharedItems/>
    </cacheField>
    <cacheField name="Billing Amount" numFmtId="0">
      <sharedItems containsSemiMixedTypes="0" containsString="0" containsNumber="1" minValue="-502.50781269999999" maxValue="50142.026949999999"/>
    </cacheField>
    <cacheField name="Room Number" numFmtId="0">
      <sharedItems containsSemiMixedTypes="0" containsString="0" containsNumber="1" containsInteger="1" minValue="102" maxValue="500"/>
    </cacheField>
    <cacheField name="Admission Type" numFmtId="0">
      <sharedItems/>
    </cacheField>
    <cacheField name="Discharge Date" numFmtId="14">
      <sharedItems containsSemiMixedTypes="0" containsNonDate="0" containsDate="1" containsString="0" minDate="2019-05-31T00:00:00" maxDate="2024-05-05T00:00:00"/>
    </cacheField>
    <cacheField name="Medication" numFmtId="0">
      <sharedItems/>
    </cacheField>
    <cacheField name="Test Results" numFmtId="0">
      <sharedItems/>
    </cacheField>
  </cacheFields>
  <extLst>
    <ext xmlns:x14="http://schemas.microsoft.com/office/spreadsheetml/2009/9/main" uri="{725AE2AE-9491-48be-B2B4-4EB974FC3084}">
      <x14:pivotCacheDefinition pivotCacheId="6790320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501">
  <r>
    <s v="Bobby JacksOn"/>
    <n v="30"/>
    <x v="0"/>
    <x v="0"/>
    <x v="0"/>
    <x v="0"/>
    <s v="Matthew Smith"/>
    <x v="0"/>
    <x v="0"/>
    <n v="18856.281309999998"/>
    <n v="328"/>
    <x v="0"/>
    <x v="0"/>
    <x v="0"/>
    <x v="0"/>
  </r>
  <r>
    <s v="LesLie TErRy"/>
    <n v="62"/>
    <x v="0"/>
    <x v="1"/>
    <x v="1"/>
    <x v="1"/>
    <s v="Samantha Davies"/>
    <x v="1"/>
    <x v="1"/>
    <n v="33643.327290000001"/>
    <n v="265"/>
    <x v="1"/>
    <x v="1"/>
    <x v="1"/>
    <x v="1"/>
  </r>
  <r>
    <s v="DaNnY sMitH"/>
    <n v="76"/>
    <x v="1"/>
    <x v="2"/>
    <x v="1"/>
    <x v="2"/>
    <s v="Tiffany Mitchell"/>
    <x v="2"/>
    <x v="2"/>
    <n v="27955.096079999999"/>
    <n v="205"/>
    <x v="1"/>
    <x v="2"/>
    <x v="2"/>
    <x v="0"/>
  </r>
  <r>
    <s v="andrEw waTtS"/>
    <n v="28"/>
    <x v="1"/>
    <x v="3"/>
    <x v="2"/>
    <x v="3"/>
    <s v="Kevin Wells"/>
    <x v="3"/>
    <x v="1"/>
    <n v="37909.78241"/>
    <n v="450"/>
    <x v="2"/>
    <x v="3"/>
    <x v="1"/>
    <x v="2"/>
  </r>
  <r>
    <s v="adrIENNE bEll"/>
    <n v="43"/>
    <x v="1"/>
    <x v="4"/>
    <x v="0"/>
    <x v="4"/>
    <s v="Kathleen Hanna"/>
    <x v="4"/>
    <x v="2"/>
    <n v="14238.31781"/>
    <n v="458"/>
    <x v="0"/>
    <x v="4"/>
    <x v="3"/>
    <x v="2"/>
  </r>
  <r>
    <s v="EMILY JOHNSOn"/>
    <n v="36"/>
    <x v="0"/>
    <x v="1"/>
    <x v="3"/>
    <x v="5"/>
    <s v="Taylor Newton"/>
    <x v="5"/>
    <x v="3"/>
    <n v="48145.110950000002"/>
    <n v="389"/>
    <x v="0"/>
    <x v="5"/>
    <x v="1"/>
    <x v="0"/>
  </r>
  <r>
    <s v="edwArD EDWaRDs"/>
    <n v="21"/>
    <x v="1"/>
    <x v="5"/>
    <x v="2"/>
    <x v="6"/>
    <s v="Kelly Olson"/>
    <x v="6"/>
    <x v="1"/>
    <n v="19580.872340000002"/>
    <n v="389"/>
    <x v="1"/>
    <x v="6"/>
    <x v="0"/>
    <x v="1"/>
  </r>
  <r>
    <s v="CHrisTInA MARtinez"/>
    <n v="20"/>
    <x v="1"/>
    <x v="1"/>
    <x v="0"/>
    <x v="7"/>
    <s v="Suzanne Thomas"/>
    <x v="7"/>
    <x v="4"/>
    <n v="45820.462720000003"/>
    <n v="277"/>
    <x v="1"/>
    <x v="7"/>
    <x v="0"/>
    <x v="1"/>
  </r>
  <r>
    <s v="JASmINe aGuIlaR"/>
    <n v="82"/>
    <x v="0"/>
    <x v="4"/>
    <x v="3"/>
    <x v="8"/>
    <s v="Daniel Ferguson"/>
    <x v="8"/>
    <x v="4"/>
    <n v="50119.22279"/>
    <n v="316"/>
    <x v="2"/>
    <x v="8"/>
    <x v="2"/>
    <x v="2"/>
  </r>
  <r>
    <s v="ChRISTopher BerG"/>
    <n v="58"/>
    <x v="1"/>
    <x v="5"/>
    <x v="0"/>
    <x v="9"/>
    <s v="Heather Day"/>
    <x v="9"/>
    <x v="3"/>
    <n v="19784.63106"/>
    <n v="249"/>
    <x v="2"/>
    <x v="9"/>
    <x v="0"/>
    <x v="1"/>
  </r>
  <r>
    <s v="mIchElLe daniELs"/>
    <n v="72"/>
    <x v="0"/>
    <x v="3"/>
    <x v="0"/>
    <x v="10"/>
    <s v="John Duncan"/>
    <x v="10"/>
    <x v="1"/>
    <n v="12576.795609999999"/>
    <n v="394"/>
    <x v="0"/>
    <x v="10"/>
    <x v="0"/>
    <x v="0"/>
  </r>
  <r>
    <s v="aaRon MARtiNeZ"/>
    <n v="38"/>
    <x v="1"/>
    <x v="2"/>
    <x v="4"/>
    <x v="11"/>
    <s v="Douglas Mayo"/>
    <x v="11"/>
    <x v="1"/>
    <n v="7999.5868799999998"/>
    <n v="288"/>
    <x v="0"/>
    <x v="11"/>
    <x v="4"/>
    <x v="1"/>
  </r>
  <r>
    <s v="connOR HANsEn"/>
    <n v="75"/>
    <x v="1"/>
    <x v="1"/>
    <x v="2"/>
    <x v="12"/>
    <s v="Kenneth Fletcher"/>
    <x v="12"/>
    <x v="4"/>
    <n v="43282.283360000001"/>
    <n v="134"/>
    <x v="1"/>
    <x v="12"/>
    <x v="3"/>
    <x v="2"/>
  </r>
  <r>
    <s v="rObeRt bAuer"/>
    <n v="68"/>
    <x v="1"/>
    <x v="4"/>
    <x v="3"/>
    <x v="13"/>
    <s v="Theresa Freeman"/>
    <x v="13"/>
    <x v="3"/>
    <n v="33207.706630000001"/>
    <n v="309"/>
    <x v="0"/>
    <x v="13"/>
    <x v="4"/>
    <x v="0"/>
  </r>
  <r>
    <s v="bROOkE brady"/>
    <n v="44"/>
    <x v="1"/>
    <x v="4"/>
    <x v="0"/>
    <x v="14"/>
    <s v="Roberta Stewart"/>
    <x v="14"/>
    <x v="3"/>
    <n v="40701.59923"/>
    <n v="182"/>
    <x v="0"/>
    <x v="14"/>
    <x v="0"/>
    <x v="0"/>
  </r>
  <r>
    <s v="MS. nAtalIE gAMble"/>
    <n v="46"/>
    <x v="1"/>
    <x v="5"/>
    <x v="1"/>
    <x v="15"/>
    <s v="Maria Dougherty"/>
    <x v="15"/>
    <x v="0"/>
    <n v="12263.35743"/>
    <n v="465"/>
    <x v="2"/>
    <x v="15"/>
    <x v="2"/>
    <x v="1"/>
  </r>
  <r>
    <s v="haley perkins"/>
    <n v="63"/>
    <x v="1"/>
    <x v="1"/>
    <x v="5"/>
    <x v="16"/>
    <s v="Erica Spencer"/>
    <x v="16"/>
    <x v="3"/>
    <n v="24499.847900000001"/>
    <n v="114"/>
    <x v="2"/>
    <x v="8"/>
    <x v="0"/>
    <x v="0"/>
  </r>
  <r>
    <s v="mRS. jamiE cAMPBELl"/>
    <n v="38"/>
    <x v="0"/>
    <x v="5"/>
    <x v="1"/>
    <x v="17"/>
    <s v="Justin Kim"/>
    <x v="17"/>
    <x v="4"/>
    <n v="17440.46544"/>
    <n v="449"/>
    <x v="0"/>
    <x v="16"/>
    <x v="0"/>
    <x v="2"/>
  </r>
  <r>
    <s v="LuKE BuRgEss"/>
    <n v="34"/>
    <x v="1"/>
    <x v="2"/>
    <x v="4"/>
    <x v="18"/>
    <s v="Justin Moore Jr."/>
    <x v="18"/>
    <x v="0"/>
    <n v="18843.023020000001"/>
    <n v="260"/>
    <x v="2"/>
    <x v="17"/>
    <x v="2"/>
    <x v="2"/>
  </r>
  <r>
    <s v="dANIEL schmIdt"/>
    <n v="63"/>
    <x v="0"/>
    <x v="6"/>
    <x v="3"/>
    <x v="19"/>
    <s v="Denise Galloway"/>
    <x v="19"/>
    <x v="4"/>
    <n v="23762.203580000001"/>
    <n v="465"/>
    <x v="2"/>
    <x v="18"/>
    <x v="3"/>
    <x v="0"/>
  </r>
  <r>
    <s v="tIMOTHY burNs"/>
    <n v="67"/>
    <x v="1"/>
    <x v="2"/>
    <x v="3"/>
    <x v="20"/>
    <s v="Krista Smith"/>
    <x v="20"/>
    <x v="0"/>
    <n v="42.514588549999999"/>
    <n v="115"/>
    <x v="2"/>
    <x v="19"/>
    <x v="2"/>
    <x v="0"/>
  </r>
  <r>
    <s v="ChRISToPHEr BRiGhT"/>
    <n v="48"/>
    <x v="0"/>
    <x v="6"/>
    <x v="3"/>
    <x v="21"/>
    <s v="Gregory Smith"/>
    <x v="21"/>
    <x v="2"/>
    <n v="17695.911619999999"/>
    <n v="295"/>
    <x v="0"/>
    <x v="20"/>
    <x v="4"/>
    <x v="0"/>
  </r>
  <r>
    <s v="KatHRYn StewArt"/>
    <n v="58"/>
    <x v="1"/>
    <x v="3"/>
    <x v="5"/>
    <x v="22"/>
    <s v="Vanessa Newton"/>
    <x v="22"/>
    <x v="2"/>
    <n v="5998.1029079999998"/>
    <n v="327"/>
    <x v="0"/>
    <x v="21"/>
    <x v="4"/>
    <x v="1"/>
  </r>
  <r>
    <s v="dR. EilEEn thomPsoN"/>
    <n v="59"/>
    <x v="0"/>
    <x v="1"/>
    <x v="3"/>
    <x v="23"/>
    <s v="Donna Martinez MD"/>
    <x v="23"/>
    <x v="2"/>
    <n v="25250.05243"/>
    <n v="119"/>
    <x v="0"/>
    <x v="22"/>
    <x v="4"/>
    <x v="1"/>
  </r>
  <r>
    <s v="PAUl hEndERsOn"/>
    <n v="72"/>
    <x v="1"/>
    <x v="4"/>
    <x v="4"/>
    <x v="24"/>
    <s v="Stephanie Kramer"/>
    <x v="24"/>
    <x v="1"/>
    <n v="33211.295420000002"/>
    <n v="109"/>
    <x v="1"/>
    <x v="23"/>
    <x v="0"/>
    <x v="1"/>
  </r>
  <r>
    <s v="PeTER fiTzgeRaLd"/>
    <n v="73"/>
    <x v="0"/>
    <x v="4"/>
    <x v="1"/>
    <x v="24"/>
    <s v="Angela Contreras"/>
    <x v="25"/>
    <x v="1"/>
    <n v="19746.832009999998"/>
    <n v="162"/>
    <x v="0"/>
    <x v="24"/>
    <x v="2"/>
    <x v="2"/>
  </r>
  <r>
    <s v="cathy sMaLl"/>
    <n v="51"/>
    <x v="1"/>
    <x v="7"/>
    <x v="3"/>
    <x v="25"/>
    <s v="Wendy Glenn"/>
    <x v="26"/>
    <x v="0"/>
    <n v="26786.529559999999"/>
    <n v="401"/>
    <x v="2"/>
    <x v="25"/>
    <x v="1"/>
    <x v="0"/>
  </r>
  <r>
    <s v="mr. KenNEth MoORE"/>
    <n v="34"/>
    <x v="1"/>
    <x v="1"/>
    <x v="2"/>
    <x v="26"/>
    <s v="James Ellis"/>
    <x v="27"/>
    <x v="3"/>
    <n v="18834.801340000002"/>
    <n v="157"/>
    <x v="1"/>
    <x v="26"/>
    <x v="4"/>
    <x v="2"/>
  </r>
  <r>
    <s v="MaRy hUNter"/>
    <n v="38"/>
    <x v="1"/>
    <x v="7"/>
    <x v="4"/>
    <x v="27"/>
    <s v="Jared Bruce Jr."/>
    <x v="28"/>
    <x v="4"/>
    <n v="32643.299350000001"/>
    <n v="223"/>
    <x v="1"/>
    <x v="27"/>
    <x v="3"/>
    <x v="0"/>
  </r>
  <r>
    <s v="jOSHUA OLiVer"/>
    <n v="63"/>
    <x v="1"/>
    <x v="6"/>
    <x v="4"/>
    <x v="28"/>
    <s v="Brandy Mitchell"/>
    <x v="29"/>
    <x v="2"/>
    <n v="5767.0110539999996"/>
    <n v="293"/>
    <x v="2"/>
    <x v="28"/>
    <x v="0"/>
    <x v="2"/>
  </r>
  <r>
    <s v="ThOMAS MartInEZ"/>
    <n v="34"/>
    <x v="0"/>
    <x v="0"/>
    <x v="3"/>
    <x v="29"/>
    <s v="Jacob Huynh"/>
    <x v="30"/>
    <x v="4"/>
    <n v="47909.128810000002"/>
    <n v="371"/>
    <x v="0"/>
    <x v="29"/>
    <x v="1"/>
    <x v="1"/>
  </r>
  <r>
    <s v="JAmES pattERson"/>
    <n v="23"/>
    <x v="1"/>
    <x v="1"/>
    <x v="5"/>
    <x v="30"/>
    <s v="Kristina Frazier"/>
    <x v="31"/>
    <x v="3"/>
    <n v="25835.32359"/>
    <n v="108"/>
    <x v="0"/>
    <x v="30"/>
    <x v="3"/>
    <x v="2"/>
  </r>
  <r>
    <s v="WilLIAM cOOPEr"/>
    <n v="78"/>
    <x v="0"/>
    <x v="5"/>
    <x v="5"/>
    <x v="31"/>
    <s v="John Hartman"/>
    <x v="32"/>
    <x v="1"/>
    <n v="17993.226200000001"/>
    <n v="245"/>
    <x v="2"/>
    <x v="31"/>
    <x v="3"/>
    <x v="0"/>
  </r>
  <r>
    <s v="Erin oRTEga"/>
    <n v="43"/>
    <x v="0"/>
    <x v="5"/>
    <x v="0"/>
    <x v="32"/>
    <s v="Heather Garcia"/>
    <x v="33"/>
    <x v="1"/>
    <n v="21185.953529999999"/>
    <n v="494"/>
    <x v="2"/>
    <x v="32"/>
    <x v="1"/>
    <x v="0"/>
  </r>
  <r>
    <s v="NicOlE RodriGUEz"/>
    <n v="30"/>
    <x v="1"/>
    <x v="4"/>
    <x v="2"/>
    <x v="33"/>
    <s v="Lynn Young"/>
    <x v="34"/>
    <x v="0"/>
    <n v="8408.9493540000003"/>
    <n v="285"/>
    <x v="1"/>
    <x v="33"/>
    <x v="4"/>
    <x v="0"/>
  </r>
  <r>
    <s v="DAvID AndErSON"/>
    <n v="25"/>
    <x v="1"/>
    <x v="4"/>
    <x v="3"/>
    <x v="34"/>
    <s v="Emma Allison"/>
    <x v="35"/>
    <x v="1"/>
    <n v="45453.418550000002"/>
    <n v="228"/>
    <x v="2"/>
    <x v="34"/>
    <x v="4"/>
    <x v="2"/>
  </r>
  <r>
    <s v="DEnIse ToRRES"/>
    <n v="33"/>
    <x v="0"/>
    <x v="4"/>
    <x v="2"/>
    <x v="35"/>
    <s v="Laura Myers"/>
    <x v="36"/>
    <x v="2"/>
    <n v="4397.7769950000002"/>
    <n v="481"/>
    <x v="0"/>
    <x v="35"/>
    <x v="0"/>
    <x v="1"/>
  </r>
  <r>
    <s v="CasSAndrA Robinson"/>
    <n v="26"/>
    <x v="1"/>
    <x v="0"/>
    <x v="4"/>
    <x v="36"/>
    <s v="Travis Parsons"/>
    <x v="37"/>
    <x v="2"/>
    <n v="9380.3259679999992"/>
    <n v="212"/>
    <x v="0"/>
    <x v="36"/>
    <x v="1"/>
    <x v="0"/>
  </r>
  <r>
    <s v="NIcOlE LUcErO"/>
    <n v="70"/>
    <x v="1"/>
    <x v="7"/>
    <x v="2"/>
    <x v="37"/>
    <s v="Christine Johnson"/>
    <x v="38"/>
    <x v="4"/>
    <n v="48290.69341"/>
    <n v="113"/>
    <x v="1"/>
    <x v="37"/>
    <x v="4"/>
    <x v="2"/>
  </r>
  <r>
    <s v="PAmela fErNanDeZ"/>
    <n v="57"/>
    <x v="1"/>
    <x v="0"/>
    <x v="1"/>
    <x v="38"/>
    <s v="Emily Taylor"/>
    <x v="39"/>
    <x v="1"/>
    <n v="32973.94083"/>
    <n v="272"/>
    <x v="0"/>
    <x v="38"/>
    <x v="3"/>
    <x v="2"/>
  </r>
  <r>
    <s v="chRiSTOPHer LEe"/>
    <n v="74"/>
    <x v="1"/>
    <x v="0"/>
    <x v="4"/>
    <x v="39"/>
    <s v="William Reynolds"/>
    <x v="40"/>
    <x v="4"/>
    <n v="49943.2785"/>
    <n v="478"/>
    <x v="1"/>
    <x v="39"/>
    <x v="4"/>
    <x v="0"/>
  </r>
  <r>
    <s v="ThomAS morsE"/>
    <n v="81"/>
    <x v="0"/>
    <x v="1"/>
    <x v="4"/>
    <x v="40"/>
    <s v="Jennifer Carter"/>
    <x v="41"/>
    <x v="4"/>
    <n v="35633.955450000001"/>
    <n v="196"/>
    <x v="0"/>
    <x v="20"/>
    <x v="2"/>
    <x v="0"/>
  </r>
  <r>
    <s v="Mr. eRiC Lane"/>
    <n v="49"/>
    <x v="1"/>
    <x v="2"/>
    <x v="3"/>
    <x v="41"/>
    <s v="Matthew Thomas"/>
    <x v="42"/>
    <x v="4"/>
    <n v="25966.32861"/>
    <n v="418"/>
    <x v="2"/>
    <x v="40"/>
    <x v="0"/>
    <x v="0"/>
  </r>
  <r>
    <s v="KAThEriNE SmiTH"/>
    <n v="26"/>
    <x v="1"/>
    <x v="4"/>
    <x v="1"/>
    <x v="42"/>
    <s v="Mary Logan"/>
    <x v="43"/>
    <x v="3"/>
    <n v="21784.445070000002"/>
    <n v="410"/>
    <x v="0"/>
    <x v="41"/>
    <x v="0"/>
    <x v="0"/>
  </r>
  <r>
    <s v="pAUL wILLiAmS"/>
    <n v="81"/>
    <x v="1"/>
    <x v="5"/>
    <x v="0"/>
    <x v="43"/>
    <s v="Kristin Martinez"/>
    <x v="44"/>
    <x v="1"/>
    <n v="42684.558879999997"/>
    <n v="328"/>
    <x v="0"/>
    <x v="42"/>
    <x v="3"/>
    <x v="2"/>
  </r>
  <r>
    <s v="lYNn MaRtinez"/>
    <n v="65"/>
    <x v="0"/>
    <x v="3"/>
    <x v="0"/>
    <x v="44"/>
    <s v="Daniel Murphy"/>
    <x v="45"/>
    <x v="1"/>
    <n v="45585.886559999999"/>
    <n v="300"/>
    <x v="1"/>
    <x v="43"/>
    <x v="3"/>
    <x v="0"/>
  </r>
  <r>
    <s v="chRIsTOpHEr CHaPmAN"/>
    <n v="31"/>
    <x v="1"/>
    <x v="3"/>
    <x v="4"/>
    <x v="45"/>
    <s v="Emily Patterson"/>
    <x v="46"/>
    <x v="4"/>
    <n v="29615.441859999999"/>
    <n v="211"/>
    <x v="2"/>
    <x v="44"/>
    <x v="0"/>
    <x v="0"/>
  </r>
  <r>
    <s v="CHRis fRYe"/>
    <n v="58"/>
    <x v="0"/>
    <x v="2"/>
    <x v="2"/>
    <x v="46"/>
    <s v="Heather Smith"/>
    <x v="47"/>
    <x v="4"/>
    <n v="36992.273690000002"/>
    <n v="413"/>
    <x v="0"/>
    <x v="45"/>
    <x v="2"/>
    <x v="0"/>
  </r>
  <r>
    <s v="kyLE bEnneTT"/>
    <n v="22"/>
    <x v="0"/>
    <x v="3"/>
    <x v="4"/>
    <x v="47"/>
    <s v="John Smith"/>
    <x v="48"/>
    <x v="3"/>
    <n v="28051.499479999999"/>
    <n v="157"/>
    <x v="0"/>
    <x v="46"/>
    <x v="1"/>
    <x v="2"/>
  </r>
  <r>
    <s v="BRandOn coLLINS"/>
    <n v="77"/>
    <x v="1"/>
    <x v="3"/>
    <x v="3"/>
    <x v="48"/>
    <s v="Cameron Young"/>
    <x v="49"/>
    <x v="4"/>
    <n v="16320.23245"/>
    <n v="138"/>
    <x v="0"/>
    <x v="47"/>
    <x v="1"/>
    <x v="2"/>
  </r>
  <r>
    <s v="mIchael LiU"/>
    <n v="30"/>
    <x v="0"/>
    <x v="5"/>
    <x v="4"/>
    <x v="49"/>
    <s v="Vicki Nguyen"/>
    <x v="50"/>
    <x v="1"/>
    <n v="30590.541809999999"/>
    <n v="456"/>
    <x v="1"/>
    <x v="48"/>
    <x v="0"/>
    <x v="1"/>
  </r>
  <r>
    <s v="STepHaNie kEnt"/>
    <n v="42"/>
    <x v="1"/>
    <x v="2"/>
    <x v="0"/>
    <x v="50"/>
    <s v="Mary Moss"/>
    <x v="51"/>
    <x v="2"/>
    <n v="14681.01636"/>
    <n v="234"/>
    <x v="1"/>
    <x v="49"/>
    <x v="1"/>
    <x v="2"/>
  </r>
  <r>
    <s v="JessE BaNks"/>
    <n v="67"/>
    <x v="1"/>
    <x v="4"/>
    <x v="0"/>
    <x v="51"/>
    <s v="Alexander Garcia"/>
    <x v="52"/>
    <x v="2"/>
    <n v="21879.531910000002"/>
    <n v="492"/>
    <x v="0"/>
    <x v="50"/>
    <x v="3"/>
    <x v="1"/>
  </r>
  <r>
    <s v="PeGGY LEe"/>
    <n v="24"/>
    <x v="1"/>
    <x v="2"/>
    <x v="1"/>
    <x v="52"/>
    <s v="Patrick Burns"/>
    <x v="53"/>
    <x v="3"/>
    <n v="6767.6343969999998"/>
    <n v="180"/>
    <x v="2"/>
    <x v="51"/>
    <x v="4"/>
    <x v="2"/>
  </r>
  <r>
    <s v="TAmARa hErNAndez"/>
    <n v="84"/>
    <x v="1"/>
    <x v="0"/>
    <x v="3"/>
    <x v="53"/>
    <s v="Kayla Powers"/>
    <x v="54"/>
    <x v="4"/>
    <n v="19973.462930000002"/>
    <n v="250"/>
    <x v="2"/>
    <x v="52"/>
    <x v="1"/>
    <x v="1"/>
  </r>
  <r>
    <s v="mR. DAVID pIERce Md"/>
    <n v="73"/>
    <x v="1"/>
    <x v="2"/>
    <x v="4"/>
    <x v="54"/>
    <s v="Julia Cox"/>
    <x v="55"/>
    <x v="3"/>
    <n v="14362.314490000001"/>
    <n v="296"/>
    <x v="1"/>
    <x v="53"/>
    <x v="0"/>
    <x v="1"/>
  </r>
  <r>
    <s v="beThaNY MoOrE"/>
    <n v="55"/>
    <x v="1"/>
    <x v="1"/>
    <x v="0"/>
    <x v="55"/>
    <s v="Penny Pruitt"/>
    <x v="56"/>
    <x v="4"/>
    <n v="10300.657310000001"/>
    <n v="330"/>
    <x v="1"/>
    <x v="54"/>
    <x v="0"/>
    <x v="0"/>
  </r>
  <r>
    <s v="MIChael MIllS"/>
    <n v="23"/>
    <x v="0"/>
    <x v="7"/>
    <x v="4"/>
    <x v="56"/>
    <s v="Mrs. Lori Hurst PhD"/>
    <x v="57"/>
    <x v="2"/>
    <n v="37951.66491"/>
    <n v="405"/>
    <x v="1"/>
    <x v="55"/>
    <x v="1"/>
    <x v="1"/>
  </r>
  <r>
    <s v="kyle Wiley"/>
    <n v="40"/>
    <x v="1"/>
    <x v="5"/>
    <x v="0"/>
    <x v="57"/>
    <s v="Stephen Carr"/>
    <x v="58"/>
    <x v="2"/>
    <n v="6733.9909470000002"/>
    <n v="300"/>
    <x v="0"/>
    <x v="56"/>
    <x v="1"/>
    <x v="0"/>
  </r>
  <r>
    <s v="jACqUeLINE jORdaN"/>
    <n v="51"/>
    <x v="0"/>
    <x v="3"/>
    <x v="4"/>
    <x v="58"/>
    <s v="Jacob Daniel"/>
    <x v="59"/>
    <x v="2"/>
    <n v="17839.745650000001"/>
    <n v="306"/>
    <x v="2"/>
    <x v="57"/>
    <x v="0"/>
    <x v="2"/>
  </r>
  <r>
    <s v="ASHleY guTIERreZ"/>
    <n v="83"/>
    <x v="0"/>
    <x v="4"/>
    <x v="1"/>
    <x v="59"/>
    <s v="Tyler Braun"/>
    <x v="60"/>
    <x v="2"/>
    <n v="24637.090059999999"/>
    <n v="333"/>
    <x v="2"/>
    <x v="58"/>
    <x v="0"/>
    <x v="1"/>
  </r>
  <r>
    <s v="Kim ScOtt"/>
    <n v="63"/>
    <x v="0"/>
    <x v="2"/>
    <x v="3"/>
    <x v="60"/>
    <s v="Cindy Ellis"/>
    <x v="61"/>
    <x v="3"/>
    <n v="39723.16605"/>
    <n v="244"/>
    <x v="1"/>
    <x v="59"/>
    <x v="1"/>
    <x v="1"/>
  </r>
  <r>
    <s v="tRAvIs carTeR"/>
    <n v="18"/>
    <x v="0"/>
    <x v="1"/>
    <x v="0"/>
    <x v="61"/>
    <s v="Megan Hahn"/>
    <x v="62"/>
    <x v="3"/>
    <n v="48407.386290000002"/>
    <n v="325"/>
    <x v="1"/>
    <x v="40"/>
    <x v="2"/>
    <x v="0"/>
  </r>
  <r>
    <s v="LArry rodgeRs"/>
    <n v="23"/>
    <x v="1"/>
    <x v="0"/>
    <x v="4"/>
    <x v="62"/>
    <s v="Eric Kelly"/>
    <x v="63"/>
    <x v="4"/>
    <n v="5517.393642"/>
    <n v="113"/>
    <x v="2"/>
    <x v="60"/>
    <x v="2"/>
    <x v="1"/>
  </r>
  <r>
    <s v="Nancy glOVeR"/>
    <n v="58"/>
    <x v="0"/>
    <x v="2"/>
    <x v="4"/>
    <x v="63"/>
    <s v="Jennifer Larson"/>
    <x v="64"/>
    <x v="1"/>
    <n v="19183.168890000001"/>
    <n v="378"/>
    <x v="1"/>
    <x v="61"/>
    <x v="2"/>
    <x v="2"/>
  </r>
  <r>
    <s v="JessIca king"/>
    <n v="27"/>
    <x v="0"/>
    <x v="5"/>
    <x v="0"/>
    <x v="64"/>
    <s v="William Hess"/>
    <x v="65"/>
    <x v="1"/>
    <n v="8320.6608030000007"/>
    <n v="468"/>
    <x v="0"/>
    <x v="62"/>
    <x v="4"/>
    <x v="2"/>
  </r>
  <r>
    <s v="ChRiStOPhER gOnzAlez"/>
    <n v="59"/>
    <x v="0"/>
    <x v="6"/>
    <x v="2"/>
    <x v="65"/>
    <s v="Patricia Dunn"/>
    <x v="66"/>
    <x v="1"/>
    <n v="10107.18765"/>
    <n v="368"/>
    <x v="1"/>
    <x v="63"/>
    <x v="3"/>
    <x v="2"/>
  </r>
  <r>
    <s v="jOhN hARTmAN"/>
    <n v="27"/>
    <x v="0"/>
    <x v="0"/>
    <x v="4"/>
    <x v="66"/>
    <s v="Jack Jackson"/>
    <x v="67"/>
    <x v="4"/>
    <n v="49402.298369999997"/>
    <n v="263"/>
    <x v="2"/>
    <x v="64"/>
    <x v="4"/>
    <x v="1"/>
  </r>
  <r>
    <s v="MicHAEl MillEr"/>
    <n v="31"/>
    <x v="0"/>
    <x v="6"/>
    <x v="2"/>
    <x v="67"/>
    <s v="Jonathan Drake"/>
    <x v="68"/>
    <x v="3"/>
    <n v="35776.815110000003"/>
    <n v="489"/>
    <x v="1"/>
    <x v="65"/>
    <x v="3"/>
    <x v="0"/>
  </r>
  <r>
    <s v="Erica myERS"/>
    <n v="19"/>
    <x v="1"/>
    <x v="1"/>
    <x v="5"/>
    <x v="68"/>
    <s v="Ian Benitez"/>
    <x v="69"/>
    <x v="1"/>
    <n v="20227.863730000001"/>
    <n v="241"/>
    <x v="2"/>
    <x v="66"/>
    <x v="3"/>
    <x v="0"/>
  </r>
  <r>
    <s v="cAROl PaTtERSoN"/>
    <n v="29"/>
    <x v="1"/>
    <x v="3"/>
    <x v="0"/>
    <x v="69"/>
    <s v="Jamie Baker"/>
    <x v="70"/>
    <x v="0"/>
    <n v="19328.118579999998"/>
    <n v="231"/>
    <x v="0"/>
    <x v="67"/>
    <x v="1"/>
    <x v="0"/>
  </r>
  <r>
    <s v="JOSe LopEz"/>
    <n v="18"/>
    <x v="0"/>
    <x v="2"/>
    <x v="1"/>
    <x v="70"/>
    <s v="Erika Jackson"/>
    <x v="71"/>
    <x v="2"/>
    <n v="46956.545729999998"/>
    <n v="377"/>
    <x v="1"/>
    <x v="68"/>
    <x v="2"/>
    <x v="1"/>
  </r>
  <r>
    <s v="kEVIn SiMmoNs Jr."/>
    <n v="24"/>
    <x v="0"/>
    <x v="5"/>
    <x v="0"/>
    <x v="71"/>
    <s v="Amanda Garcia"/>
    <x v="72"/>
    <x v="4"/>
    <n v="10709.69039"/>
    <n v="407"/>
    <x v="1"/>
    <x v="69"/>
    <x v="0"/>
    <x v="2"/>
  </r>
  <r>
    <s v="DuANe HaneY"/>
    <n v="27"/>
    <x v="0"/>
    <x v="5"/>
    <x v="2"/>
    <x v="72"/>
    <s v="Raven Wong"/>
    <x v="73"/>
    <x v="2"/>
    <n v="45353.99078"/>
    <n v="263"/>
    <x v="0"/>
    <x v="70"/>
    <x v="3"/>
    <x v="2"/>
  </r>
  <r>
    <s v="JONathAn yaTeS"/>
    <n v="57"/>
    <x v="1"/>
    <x v="5"/>
    <x v="5"/>
    <x v="73"/>
    <s v="Cynthia Scott"/>
    <x v="74"/>
    <x v="2"/>
    <n v="8451.0017580000003"/>
    <n v="135"/>
    <x v="2"/>
    <x v="71"/>
    <x v="0"/>
    <x v="2"/>
  </r>
  <r>
    <s v="johN THoMaS"/>
    <n v="74"/>
    <x v="1"/>
    <x v="1"/>
    <x v="5"/>
    <x v="74"/>
    <s v="Mark Padilla"/>
    <x v="75"/>
    <x v="3"/>
    <n v="29850.879730000001"/>
    <n v="131"/>
    <x v="1"/>
    <x v="72"/>
    <x v="0"/>
    <x v="1"/>
  </r>
  <r>
    <s v="AdriaN BuckLEY"/>
    <n v="22"/>
    <x v="1"/>
    <x v="2"/>
    <x v="5"/>
    <x v="75"/>
    <s v="Julie Ramirez"/>
    <x v="76"/>
    <x v="0"/>
    <n v="42696.521159999997"/>
    <n v="102"/>
    <x v="0"/>
    <x v="73"/>
    <x v="3"/>
    <x v="0"/>
  </r>
  <r>
    <s v="apRil SANTIAgO"/>
    <n v="33"/>
    <x v="1"/>
    <x v="0"/>
    <x v="2"/>
    <x v="76"/>
    <s v="Jacob Rich"/>
    <x v="77"/>
    <x v="4"/>
    <n v="2305.1391400000002"/>
    <n v="249"/>
    <x v="1"/>
    <x v="74"/>
    <x v="3"/>
    <x v="1"/>
  </r>
  <r>
    <s v="DIane scHultz"/>
    <n v="57"/>
    <x v="0"/>
    <x v="6"/>
    <x v="5"/>
    <x v="77"/>
    <s v="Mark Hartman Jr."/>
    <x v="78"/>
    <x v="3"/>
    <n v="44437.470670000002"/>
    <n v="255"/>
    <x v="1"/>
    <x v="75"/>
    <x v="3"/>
    <x v="1"/>
  </r>
  <r>
    <s v="tiMOThY myers"/>
    <n v="61"/>
    <x v="0"/>
    <x v="6"/>
    <x v="0"/>
    <x v="78"/>
    <s v="Timothy Baker"/>
    <x v="79"/>
    <x v="3"/>
    <n v="29504.387439999999"/>
    <n v="422"/>
    <x v="0"/>
    <x v="76"/>
    <x v="1"/>
    <x v="1"/>
  </r>
  <r>
    <s v="NICOLE HUGhes"/>
    <n v="20"/>
    <x v="0"/>
    <x v="3"/>
    <x v="5"/>
    <x v="79"/>
    <s v="Lori Sanchez"/>
    <x v="80"/>
    <x v="0"/>
    <n v="34617.788339999999"/>
    <n v="320"/>
    <x v="1"/>
    <x v="77"/>
    <x v="1"/>
    <x v="2"/>
  </r>
  <r>
    <s v="ChAd MorEnO"/>
    <n v="67"/>
    <x v="0"/>
    <x v="4"/>
    <x v="4"/>
    <x v="80"/>
    <s v="Connie Boyd"/>
    <x v="81"/>
    <x v="2"/>
    <n v="46814.011200000001"/>
    <n v="134"/>
    <x v="0"/>
    <x v="78"/>
    <x v="3"/>
    <x v="2"/>
  </r>
  <r>
    <s v="SeaN jenniNGs"/>
    <n v="80"/>
    <x v="1"/>
    <x v="5"/>
    <x v="2"/>
    <x v="81"/>
    <s v="James Tucker"/>
    <x v="82"/>
    <x v="0"/>
    <n v="20257.544279999998"/>
    <n v="255"/>
    <x v="2"/>
    <x v="79"/>
    <x v="3"/>
    <x v="2"/>
  </r>
  <r>
    <s v="DIAnE brAnch"/>
    <n v="44"/>
    <x v="0"/>
    <x v="3"/>
    <x v="1"/>
    <x v="82"/>
    <s v="Juan Acevedo"/>
    <x v="83"/>
    <x v="4"/>
    <n v="22841.363880000001"/>
    <n v="410"/>
    <x v="1"/>
    <x v="80"/>
    <x v="2"/>
    <x v="1"/>
  </r>
  <r>
    <s v="cindY OROzco"/>
    <n v="26"/>
    <x v="1"/>
    <x v="0"/>
    <x v="3"/>
    <x v="83"/>
    <s v="Julie Finley"/>
    <x v="84"/>
    <x v="1"/>
    <n v="10283.71686"/>
    <n v="273"/>
    <x v="1"/>
    <x v="81"/>
    <x v="1"/>
    <x v="2"/>
  </r>
  <r>
    <s v="pAtriCIa MEdinA"/>
    <n v="80"/>
    <x v="0"/>
    <x v="4"/>
    <x v="0"/>
    <x v="84"/>
    <s v="Miguel Parker"/>
    <x v="85"/>
    <x v="3"/>
    <n v="1586.4766010000001"/>
    <n v="395"/>
    <x v="1"/>
    <x v="82"/>
    <x v="1"/>
    <x v="0"/>
  </r>
  <r>
    <s v="kayLa padillA"/>
    <n v="63"/>
    <x v="0"/>
    <x v="0"/>
    <x v="3"/>
    <x v="85"/>
    <s v="Jermaine Peters"/>
    <x v="86"/>
    <x v="2"/>
    <n v="34774.351130000003"/>
    <n v="152"/>
    <x v="1"/>
    <x v="83"/>
    <x v="3"/>
    <x v="1"/>
  </r>
  <r>
    <s v="JUan klEiN"/>
    <n v="58"/>
    <x v="1"/>
    <x v="0"/>
    <x v="5"/>
    <x v="86"/>
    <s v="Lisa Edwards"/>
    <x v="87"/>
    <x v="3"/>
    <n v="24870.103660000001"/>
    <n v="321"/>
    <x v="1"/>
    <x v="84"/>
    <x v="1"/>
    <x v="1"/>
  </r>
  <r>
    <s v="wILLIAM hIlL"/>
    <n v="38"/>
    <x v="1"/>
    <x v="1"/>
    <x v="0"/>
    <x v="87"/>
    <s v="Matthew Walker"/>
    <x v="88"/>
    <x v="4"/>
    <n v="39476.947509999998"/>
    <n v="428"/>
    <x v="2"/>
    <x v="85"/>
    <x v="2"/>
    <x v="2"/>
  </r>
  <r>
    <s v="CARL BEst"/>
    <n v="60"/>
    <x v="0"/>
    <x v="6"/>
    <x v="4"/>
    <x v="88"/>
    <s v="Gregory Hansen"/>
    <x v="89"/>
    <x v="0"/>
    <n v="26062.43432"/>
    <n v="482"/>
    <x v="2"/>
    <x v="86"/>
    <x v="0"/>
    <x v="1"/>
  </r>
  <r>
    <s v="TInA GriFfin"/>
    <n v="49"/>
    <x v="0"/>
    <x v="6"/>
    <x v="0"/>
    <x v="89"/>
    <s v="Jessica Cruz"/>
    <x v="90"/>
    <x v="1"/>
    <n v="25302.11263"/>
    <n v="268"/>
    <x v="2"/>
    <x v="87"/>
    <x v="3"/>
    <x v="2"/>
  </r>
  <r>
    <s v="MR. TYler TAYLOR Phd"/>
    <n v="80"/>
    <x v="0"/>
    <x v="1"/>
    <x v="2"/>
    <x v="90"/>
    <s v="Robert Salazar"/>
    <x v="91"/>
    <x v="3"/>
    <n v="10661.51065"/>
    <n v="120"/>
    <x v="1"/>
    <x v="88"/>
    <x v="4"/>
    <x v="2"/>
  </r>
  <r>
    <s v="TAyLoR howeLl Dds"/>
    <n v="35"/>
    <x v="1"/>
    <x v="6"/>
    <x v="2"/>
    <x v="91"/>
    <s v="Kyle Patterson"/>
    <x v="92"/>
    <x v="0"/>
    <n v="30358.194579999999"/>
    <n v="318"/>
    <x v="2"/>
    <x v="89"/>
    <x v="1"/>
    <x v="1"/>
  </r>
  <r>
    <s v="mIcHAeL MaRTIn"/>
    <n v="84"/>
    <x v="0"/>
    <x v="1"/>
    <x v="3"/>
    <x v="92"/>
    <s v="John Summers"/>
    <x v="93"/>
    <x v="4"/>
    <n v="23684.52547"/>
    <n v="162"/>
    <x v="0"/>
    <x v="90"/>
    <x v="1"/>
    <x v="1"/>
  </r>
  <r>
    <s v="heatHER mIller"/>
    <n v="76"/>
    <x v="0"/>
    <x v="1"/>
    <x v="2"/>
    <x v="93"/>
    <s v="Scott Grant"/>
    <x v="94"/>
    <x v="2"/>
    <n v="3908.9465679999998"/>
    <n v="428"/>
    <x v="2"/>
    <x v="91"/>
    <x v="4"/>
    <x v="1"/>
  </r>
  <r>
    <s v="cathERinE gArDnEr"/>
    <n v="79"/>
    <x v="1"/>
    <x v="2"/>
    <x v="4"/>
    <x v="94"/>
    <s v="David Ruiz"/>
    <x v="95"/>
    <x v="1"/>
    <n v="25503.67381"/>
    <n v="144"/>
    <x v="2"/>
    <x v="1"/>
    <x v="4"/>
    <x v="2"/>
  </r>
  <r>
    <s v="ANNE THOMPSoN"/>
    <n v="76"/>
    <x v="1"/>
    <x v="3"/>
    <x v="2"/>
    <x v="95"/>
    <s v="Kyle Smith"/>
    <x v="96"/>
    <x v="2"/>
    <n v="6312.6076910000002"/>
    <n v="226"/>
    <x v="2"/>
    <x v="92"/>
    <x v="2"/>
    <x v="2"/>
  </r>
  <r>
    <s v="TOdd coopeR"/>
    <n v="55"/>
    <x v="1"/>
    <x v="1"/>
    <x v="2"/>
    <x v="96"/>
    <s v="Jason Price"/>
    <x v="97"/>
    <x v="3"/>
    <n v="21772.341400000001"/>
    <n v="459"/>
    <x v="2"/>
    <x v="93"/>
    <x v="1"/>
    <x v="0"/>
  </r>
  <r>
    <s v="PhILLIP lyOnS"/>
    <n v="53"/>
    <x v="0"/>
    <x v="0"/>
    <x v="0"/>
    <x v="97"/>
    <s v="Stephanie Clements"/>
    <x v="98"/>
    <x v="0"/>
    <n v="30437.001789999998"/>
    <n v="208"/>
    <x v="2"/>
    <x v="94"/>
    <x v="2"/>
    <x v="0"/>
  </r>
  <r>
    <s v="MaRk foRD"/>
    <n v="18"/>
    <x v="0"/>
    <x v="6"/>
    <x v="3"/>
    <x v="98"/>
    <s v="Steven James"/>
    <x v="99"/>
    <x v="3"/>
    <n v="28837.677049999998"/>
    <n v="227"/>
    <x v="2"/>
    <x v="95"/>
    <x v="2"/>
    <x v="2"/>
  </r>
  <r>
    <s v="mARcUS ZAmorA"/>
    <n v="69"/>
    <x v="0"/>
    <x v="3"/>
    <x v="5"/>
    <x v="74"/>
    <s v="Jeremiah Wolf"/>
    <x v="100"/>
    <x v="4"/>
    <n v="25425.727859999999"/>
    <n v="115"/>
    <x v="2"/>
    <x v="96"/>
    <x v="2"/>
    <x v="0"/>
  </r>
  <r>
    <s v="KaTiE hENry"/>
    <n v="70"/>
    <x v="0"/>
    <x v="6"/>
    <x v="2"/>
    <x v="99"/>
    <s v="Roberto Petersen"/>
    <x v="101"/>
    <x v="2"/>
    <n v="7187.2723459999997"/>
    <n v="402"/>
    <x v="1"/>
    <x v="97"/>
    <x v="2"/>
    <x v="0"/>
  </r>
  <r>
    <s v="wilLIAm morTON"/>
    <n v="21"/>
    <x v="0"/>
    <x v="1"/>
    <x v="2"/>
    <x v="100"/>
    <s v="Christina Hammond"/>
    <x v="102"/>
    <x v="3"/>
    <n v="3125.7364769999999"/>
    <n v="442"/>
    <x v="0"/>
    <x v="98"/>
    <x v="1"/>
    <x v="0"/>
  </r>
  <r>
    <s v="KaTRina maRTin"/>
    <n v="47"/>
    <x v="0"/>
    <x v="2"/>
    <x v="2"/>
    <x v="101"/>
    <s v="Patricia Colon"/>
    <x v="103"/>
    <x v="1"/>
    <n v="31516.100729999998"/>
    <n v="418"/>
    <x v="2"/>
    <x v="99"/>
    <x v="3"/>
    <x v="1"/>
  </r>
  <r>
    <s v="HunTeR mckAy"/>
    <n v="85"/>
    <x v="0"/>
    <x v="2"/>
    <x v="5"/>
    <x v="102"/>
    <s v="Dominic Mitchell"/>
    <x v="104"/>
    <x v="3"/>
    <n v="40014.762349999997"/>
    <n v="425"/>
    <x v="1"/>
    <x v="100"/>
    <x v="2"/>
    <x v="2"/>
  </r>
  <r>
    <s v="dWAYnE DAViS"/>
    <n v="28"/>
    <x v="0"/>
    <x v="3"/>
    <x v="0"/>
    <x v="103"/>
    <s v="Wendy Davis"/>
    <x v="105"/>
    <x v="1"/>
    <n v="40782.927810000001"/>
    <n v="373"/>
    <x v="2"/>
    <x v="101"/>
    <x v="1"/>
    <x v="2"/>
  </r>
  <r>
    <s v="sARAH CalDweLL"/>
    <n v="62"/>
    <x v="0"/>
    <x v="2"/>
    <x v="1"/>
    <x v="104"/>
    <s v="Daniel Carson"/>
    <x v="106"/>
    <x v="4"/>
    <n v="3879.0846019999999"/>
    <n v="290"/>
    <x v="2"/>
    <x v="102"/>
    <x v="2"/>
    <x v="1"/>
  </r>
  <r>
    <s v="DAVid higgInS"/>
    <n v="49"/>
    <x v="1"/>
    <x v="0"/>
    <x v="5"/>
    <x v="105"/>
    <s v="Erin Henderson MD"/>
    <x v="107"/>
    <x v="1"/>
    <n v="24948.47782"/>
    <n v="361"/>
    <x v="1"/>
    <x v="103"/>
    <x v="3"/>
    <x v="2"/>
  </r>
  <r>
    <s v="bRADlEY coMbS"/>
    <n v="52"/>
    <x v="0"/>
    <x v="5"/>
    <x v="4"/>
    <x v="102"/>
    <s v="Christopher Butler"/>
    <x v="108"/>
    <x v="4"/>
    <n v="37734.742180000001"/>
    <n v="251"/>
    <x v="2"/>
    <x v="104"/>
    <x v="3"/>
    <x v="2"/>
  </r>
  <r>
    <s v="chrisTiNa SChMitt"/>
    <n v="53"/>
    <x v="0"/>
    <x v="6"/>
    <x v="0"/>
    <x v="106"/>
    <s v="Samuel Robles"/>
    <x v="109"/>
    <x v="3"/>
    <n v="27360.461889999999"/>
    <n v="231"/>
    <x v="2"/>
    <x v="105"/>
    <x v="1"/>
    <x v="2"/>
  </r>
  <r>
    <s v="coLtoN stRONg"/>
    <n v="55"/>
    <x v="0"/>
    <x v="5"/>
    <x v="3"/>
    <x v="107"/>
    <s v="Benjamin Webb"/>
    <x v="110"/>
    <x v="2"/>
    <n v="37405.696530000001"/>
    <n v="212"/>
    <x v="2"/>
    <x v="106"/>
    <x v="0"/>
    <x v="0"/>
  </r>
  <r>
    <s v="MARK priCE"/>
    <n v="18"/>
    <x v="0"/>
    <x v="0"/>
    <x v="5"/>
    <x v="2"/>
    <s v="Krystal Fox"/>
    <x v="111"/>
    <x v="1"/>
    <n v="31485.973160000001"/>
    <n v="440"/>
    <x v="1"/>
    <x v="107"/>
    <x v="1"/>
    <x v="0"/>
  </r>
  <r>
    <s v="sUZaNnE SchNeIder"/>
    <n v="52"/>
    <x v="0"/>
    <x v="5"/>
    <x v="4"/>
    <x v="108"/>
    <s v="Bruce Garrett"/>
    <x v="112"/>
    <x v="1"/>
    <n v="23737.39932"/>
    <n v="414"/>
    <x v="0"/>
    <x v="108"/>
    <x v="4"/>
    <x v="0"/>
  </r>
  <r>
    <s v="MIchaEL HUrLEY"/>
    <n v="67"/>
    <x v="0"/>
    <x v="5"/>
    <x v="1"/>
    <x v="109"/>
    <s v="Jonathan Watson"/>
    <x v="113"/>
    <x v="2"/>
    <n v="3326.3826749999998"/>
    <n v="424"/>
    <x v="1"/>
    <x v="109"/>
    <x v="4"/>
    <x v="1"/>
  </r>
  <r>
    <s v="LIndsEy laMbErt"/>
    <n v="82"/>
    <x v="1"/>
    <x v="1"/>
    <x v="4"/>
    <x v="110"/>
    <s v="Christopher Guerra"/>
    <x v="114"/>
    <x v="1"/>
    <n v="23067.672170000002"/>
    <n v="307"/>
    <x v="2"/>
    <x v="110"/>
    <x v="1"/>
    <x v="0"/>
  </r>
  <r>
    <s v="reBEcCA PARsONs"/>
    <n v="37"/>
    <x v="1"/>
    <x v="3"/>
    <x v="3"/>
    <x v="111"/>
    <s v="Steven Adams"/>
    <x v="115"/>
    <x v="2"/>
    <n v="8521.2142530000001"/>
    <n v="476"/>
    <x v="2"/>
    <x v="111"/>
    <x v="3"/>
    <x v="2"/>
  </r>
  <r>
    <s v="jUdy joHNsoN"/>
    <n v="52"/>
    <x v="1"/>
    <x v="5"/>
    <x v="0"/>
    <x v="112"/>
    <s v="Victoria Patel"/>
    <x v="116"/>
    <x v="4"/>
    <n v="47985.16734"/>
    <n v="388"/>
    <x v="2"/>
    <x v="112"/>
    <x v="3"/>
    <x v="1"/>
  </r>
  <r>
    <s v="TOnyA caMpbell"/>
    <n v="37"/>
    <x v="1"/>
    <x v="6"/>
    <x v="3"/>
    <x v="113"/>
    <s v="Louis Bell"/>
    <x v="117"/>
    <x v="3"/>
    <n v="25230.246879999999"/>
    <n v="326"/>
    <x v="2"/>
    <x v="113"/>
    <x v="1"/>
    <x v="1"/>
  </r>
  <r>
    <s v="JAMEs Ross"/>
    <n v="83"/>
    <x v="1"/>
    <x v="1"/>
    <x v="2"/>
    <x v="114"/>
    <s v="Michael Baker"/>
    <x v="118"/>
    <x v="0"/>
    <n v="10352.208490000001"/>
    <n v="394"/>
    <x v="0"/>
    <x v="114"/>
    <x v="2"/>
    <x v="2"/>
  </r>
  <r>
    <s v="SaRA COOk"/>
    <n v="33"/>
    <x v="0"/>
    <x v="7"/>
    <x v="5"/>
    <x v="115"/>
    <s v="Douglas Fleming"/>
    <x v="119"/>
    <x v="1"/>
    <n v="6175.8672489999999"/>
    <n v="138"/>
    <x v="0"/>
    <x v="115"/>
    <x v="2"/>
    <x v="2"/>
  </r>
  <r>
    <s v="annE howeLl"/>
    <n v="22"/>
    <x v="1"/>
    <x v="2"/>
    <x v="1"/>
    <x v="88"/>
    <s v="Patrick Carter"/>
    <x v="120"/>
    <x v="0"/>
    <n v="23499.936249999999"/>
    <n v="178"/>
    <x v="0"/>
    <x v="86"/>
    <x v="3"/>
    <x v="0"/>
  </r>
  <r>
    <s v="RENEE bAilEY"/>
    <n v="19"/>
    <x v="1"/>
    <x v="6"/>
    <x v="0"/>
    <x v="116"/>
    <s v="Sarah Shaffer"/>
    <x v="121"/>
    <x v="1"/>
    <n v="33681.572639999999"/>
    <n v="177"/>
    <x v="2"/>
    <x v="116"/>
    <x v="1"/>
    <x v="2"/>
  </r>
  <r>
    <s v="Jeffrey tuRNER"/>
    <n v="85"/>
    <x v="1"/>
    <x v="3"/>
    <x v="1"/>
    <x v="117"/>
    <s v="Matthew Carter"/>
    <x v="122"/>
    <x v="2"/>
    <n v="39957.940620000001"/>
    <n v="211"/>
    <x v="0"/>
    <x v="61"/>
    <x v="1"/>
    <x v="0"/>
  </r>
  <r>
    <s v="DR. LaUreN ClaRk DDs"/>
    <n v="19"/>
    <x v="0"/>
    <x v="6"/>
    <x v="0"/>
    <x v="118"/>
    <s v="Brian Wagner"/>
    <x v="123"/>
    <x v="3"/>
    <n v="49833.707719999999"/>
    <n v="302"/>
    <x v="2"/>
    <x v="117"/>
    <x v="4"/>
    <x v="1"/>
  </r>
  <r>
    <s v="terRY THoMaS"/>
    <n v="50"/>
    <x v="1"/>
    <x v="0"/>
    <x v="3"/>
    <x v="119"/>
    <s v="Lucas Cole"/>
    <x v="124"/>
    <x v="2"/>
    <n v="48175.466119999997"/>
    <n v="368"/>
    <x v="0"/>
    <x v="41"/>
    <x v="0"/>
    <x v="1"/>
  </r>
  <r>
    <s v="JasOn baKEr"/>
    <n v="50"/>
    <x v="1"/>
    <x v="7"/>
    <x v="1"/>
    <x v="120"/>
    <s v="Julia Yoder"/>
    <x v="125"/>
    <x v="3"/>
    <n v="40133.967389999998"/>
    <n v="130"/>
    <x v="0"/>
    <x v="118"/>
    <x v="1"/>
    <x v="0"/>
  </r>
  <r>
    <s v="JEssicA gUtiERrEz"/>
    <n v="40"/>
    <x v="0"/>
    <x v="3"/>
    <x v="1"/>
    <x v="121"/>
    <s v="Crystal Chavez"/>
    <x v="126"/>
    <x v="2"/>
    <n v="9585.9521280000008"/>
    <n v="424"/>
    <x v="0"/>
    <x v="119"/>
    <x v="4"/>
    <x v="1"/>
  </r>
  <r>
    <s v="COURTNey HOdGes"/>
    <n v="57"/>
    <x v="0"/>
    <x v="5"/>
    <x v="1"/>
    <x v="122"/>
    <s v="Brenda Lopez"/>
    <x v="127"/>
    <x v="1"/>
    <n v="40693.354220000001"/>
    <n v="430"/>
    <x v="1"/>
    <x v="44"/>
    <x v="2"/>
    <x v="2"/>
  </r>
  <r>
    <s v="ANthONy reYEs"/>
    <n v="82"/>
    <x v="0"/>
    <x v="4"/>
    <x v="1"/>
    <x v="123"/>
    <s v="Michael Cole"/>
    <x v="128"/>
    <x v="3"/>
    <n v="16399.265759999998"/>
    <n v="133"/>
    <x v="1"/>
    <x v="120"/>
    <x v="3"/>
    <x v="2"/>
  </r>
  <r>
    <s v="LeaH cRoSs Dds"/>
    <n v="20"/>
    <x v="0"/>
    <x v="4"/>
    <x v="2"/>
    <x v="124"/>
    <s v="Michael Larson"/>
    <x v="129"/>
    <x v="0"/>
    <n v="44939.565519999996"/>
    <n v="430"/>
    <x v="1"/>
    <x v="121"/>
    <x v="1"/>
    <x v="1"/>
  </r>
  <r>
    <s v="PaUL MaRTinEz"/>
    <n v="20"/>
    <x v="0"/>
    <x v="6"/>
    <x v="4"/>
    <x v="125"/>
    <s v="Tracey Spence"/>
    <x v="130"/>
    <x v="0"/>
    <n v="10663.91001"/>
    <n v="104"/>
    <x v="1"/>
    <x v="122"/>
    <x v="2"/>
    <x v="0"/>
  </r>
  <r>
    <s v="DenisE rOdRIGuEZ"/>
    <n v="19"/>
    <x v="1"/>
    <x v="2"/>
    <x v="4"/>
    <x v="126"/>
    <s v="Susan Gibson"/>
    <x v="131"/>
    <x v="4"/>
    <n v="22564.787980000001"/>
    <n v="408"/>
    <x v="2"/>
    <x v="123"/>
    <x v="0"/>
    <x v="0"/>
  </r>
  <r>
    <s v="ashLEy ERIcKSoN"/>
    <n v="32"/>
    <x v="1"/>
    <x v="5"/>
    <x v="0"/>
    <x v="127"/>
    <s v="Gerald Hooper"/>
    <x v="132"/>
    <x v="2"/>
    <n v="-502.50781269999999"/>
    <n v="376"/>
    <x v="0"/>
    <x v="124"/>
    <x v="3"/>
    <x v="0"/>
  </r>
  <r>
    <s v="SEaN carDenaS"/>
    <n v="55"/>
    <x v="0"/>
    <x v="0"/>
    <x v="2"/>
    <x v="128"/>
    <s v="Todd Sanchez"/>
    <x v="133"/>
    <x v="4"/>
    <n v="34758.25675"/>
    <n v="331"/>
    <x v="1"/>
    <x v="125"/>
    <x v="2"/>
    <x v="0"/>
  </r>
  <r>
    <s v="aLaN AlVaREz"/>
    <n v="81"/>
    <x v="0"/>
    <x v="6"/>
    <x v="4"/>
    <x v="129"/>
    <s v="Elizabeth Morales"/>
    <x v="134"/>
    <x v="3"/>
    <n v="46377.865149999998"/>
    <n v="275"/>
    <x v="0"/>
    <x v="126"/>
    <x v="4"/>
    <x v="0"/>
  </r>
  <r>
    <s v="JeSsICA phiLliPS"/>
    <n v="26"/>
    <x v="0"/>
    <x v="7"/>
    <x v="4"/>
    <x v="130"/>
    <s v="Kimberly Petersen"/>
    <x v="135"/>
    <x v="0"/>
    <n v="7555.7729650000001"/>
    <n v="425"/>
    <x v="2"/>
    <x v="127"/>
    <x v="0"/>
    <x v="2"/>
  </r>
  <r>
    <s v="tiMOthY CoLemaN"/>
    <n v="54"/>
    <x v="1"/>
    <x v="4"/>
    <x v="0"/>
    <x v="131"/>
    <s v="Misty Garcia"/>
    <x v="136"/>
    <x v="3"/>
    <n v="14299.99345"/>
    <n v="480"/>
    <x v="1"/>
    <x v="128"/>
    <x v="4"/>
    <x v="2"/>
  </r>
  <r>
    <s v="cHristina wooDS"/>
    <n v="57"/>
    <x v="0"/>
    <x v="0"/>
    <x v="5"/>
    <x v="132"/>
    <s v="Melissa Fernandez"/>
    <x v="137"/>
    <x v="4"/>
    <n v="46429.508199999997"/>
    <n v="233"/>
    <x v="2"/>
    <x v="129"/>
    <x v="0"/>
    <x v="1"/>
  </r>
  <r>
    <s v="mELIssa sCOtt"/>
    <n v="38"/>
    <x v="1"/>
    <x v="4"/>
    <x v="3"/>
    <x v="133"/>
    <s v="Kari Moore"/>
    <x v="138"/>
    <x v="1"/>
    <n v="17978.95074"/>
    <n v="384"/>
    <x v="2"/>
    <x v="66"/>
    <x v="1"/>
    <x v="2"/>
  </r>
  <r>
    <s v="GaRy hoPkiNS"/>
    <n v="54"/>
    <x v="0"/>
    <x v="3"/>
    <x v="1"/>
    <x v="134"/>
    <s v="David Hubbard"/>
    <x v="139"/>
    <x v="1"/>
    <n v="32629.067749999998"/>
    <n v="380"/>
    <x v="2"/>
    <x v="130"/>
    <x v="0"/>
    <x v="0"/>
  </r>
  <r>
    <s v="aPRIL VAleNCIA"/>
    <n v="42"/>
    <x v="0"/>
    <x v="1"/>
    <x v="2"/>
    <x v="135"/>
    <s v="Lonnie Morgan"/>
    <x v="140"/>
    <x v="1"/>
    <n v="22356.226490000001"/>
    <n v="310"/>
    <x v="0"/>
    <x v="131"/>
    <x v="2"/>
    <x v="1"/>
  </r>
  <r>
    <s v="riTA archER"/>
    <n v="20"/>
    <x v="0"/>
    <x v="7"/>
    <x v="2"/>
    <x v="136"/>
    <s v="Victoria Gonzales"/>
    <x v="141"/>
    <x v="1"/>
    <n v="48995.980589999999"/>
    <n v="406"/>
    <x v="2"/>
    <x v="132"/>
    <x v="4"/>
    <x v="0"/>
  </r>
  <r>
    <s v="kIm PenA"/>
    <n v="44"/>
    <x v="1"/>
    <x v="7"/>
    <x v="4"/>
    <x v="137"/>
    <s v="Cindy White"/>
    <x v="142"/>
    <x v="3"/>
    <n v="4532.4835540000004"/>
    <n v="213"/>
    <x v="1"/>
    <x v="133"/>
    <x v="4"/>
    <x v="1"/>
  </r>
  <r>
    <s v="jaSoN FOlEy"/>
    <n v="54"/>
    <x v="0"/>
    <x v="6"/>
    <x v="2"/>
    <x v="89"/>
    <s v="Douglas Li"/>
    <x v="143"/>
    <x v="1"/>
    <n v="35521.582150000002"/>
    <n v="130"/>
    <x v="2"/>
    <x v="134"/>
    <x v="0"/>
    <x v="0"/>
  </r>
  <r>
    <s v="ShAUN GuzmAn"/>
    <n v="21"/>
    <x v="1"/>
    <x v="5"/>
    <x v="5"/>
    <x v="138"/>
    <s v="Lori Mendoza"/>
    <x v="144"/>
    <x v="2"/>
    <n v="1589.5035230000001"/>
    <n v="244"/>
    <x v="1"/>
    <x v="135"/>
    <x v="2"/>
    <x v="1"/>
  </r>
  <r>
    <s v="MATTHeW wHite"/>
    <n v="45"/>
    <x v="1"/>
    <x v="4"/>
    <x v="2"/>
    <x v="139"/>
    <s v="Ryan Ross"/>
    <x v="145"/>
    <x v="1"/>
    <n v="22950.651140000002"/>
    <n v="233"/>
    <x v="2"/>
    <x v="136"/>
    <x v="1"/>
    <x v="2"/>
  </r>
  <r>
    <s v="aLExiS wilsOn"/>
    <n v="68"/>
    <x v="1"/>
    <x v="6"/>
    <x v="5"/>
    <x v="140"/>
    <s v="Brian Walton"/>
    <x v="146"/>
    <x v="2"/>
    <n v="2678.9539359999999"/>
    <n v="427"/>
    <x v="0"/>
    <x v="137"/>
    <x v="0"/>
    <x v="2"/>
  </r>
  <r>
    <s v="JaCQueLiNE maRshAll"/>
    <n v="27"/>
    <x v="0"/>
    <x v="1"/>
    <x v="4"/>
    <x v="141"/>
    <s v="Michael Berg"/>
    <x v="147"/>
    <x v="3"/>
    <n v="39615.600659999996"/>
    <n v="500"/>
    <x v="0"/>
    <x v="138"/>
    <x v="3"/>
    <x v="1"/>
  </r>
  <r>
    <s v="RoBErt hIGGInS"/>
    <n v="42"/>
    <x v="0"/>
    <x v="5"/>
    <x v="3"/>
    <x v="142"/>
    <s v="Scott Davis"/>
    <x v="148"/>
    <x v="1"/>
    <n v="13355.782090000001"/>
    <n v="451"/>
    <x v="2"/>
    <x v="139"/>
    <x v="1"/>
    <x v="1"/>
  </r>
  <r>
    <s v="SierRa MoRTON"/>
    <n v="27"/>
    <x v="1"/>
    <x v="0"/>
    <x v="3"/>
    <x v="143"/>
    <s v="Daniel Shelton"/>
    <x v="149"/>
    <x v="2"/>
    <n v="32561.530409999999"/>
    <n v="485"/>
    <x v="2"/>
    <x v="140"/>
    <x v="1"/>
    <x v="1"/>
  </r>
  <r>
    <s v="nATAliE sTANtoN"/>
    <n v="80"/>
    <x v="0"/>
    <x v="6"/>
    <x v="3"/>
    <x v="144"/>
    <s v="Tara Moreno"/>
    <x v="150"/>
    <x v="1"/>
    <n v="29221.340209999998"/>
    <n v="208"/>
    <x v="1"/>
    <x v="141"/>
    <x v="0"/>
    <x v="1"/>
  </r>
  <r>
    <s v="jEssica aceveDo"/>
    <n v="21"/>
    <x v="0"/>
    <x v="3"/>
    <x v="2"/>
    <x v="145"/>
    <s v="Kristie Morgan"/>
    <x v="151"/>
    <x v="1"/>
    <n v="12880.652410000001"/>
    <n v="267"/>
    <x v="0"/>
    <x v="9"/>
    <x v="3"/>
    <x v="0"/>
  </r>
  <r>
    <s v="JENnIfEr mCmillan"/>
    <n v="84"/>
    <x v="1"/>
    <x v="2"/>
    <x v="1"/>
    <x v="146"/>
    <s v="Joseph Jones"/>
    <x v="152"/>
    <x v="2"/>
    <n v="15475.40324"/>
    <n v="154"/>
    <x v="2"/>
    <x v="142"/>
    <x v="1"/>
    <x v="2"/>
  </r>
  <r>
    <s v="ChRISTopher mccLAiN"/>
    <n v="67"/>
    <x v="1"/>
    <x v="7"/>
    <x v="5"/>
    <x v="147"/>
    <s v="Maria Tran"/>
    <x v="153"/>
    <x v="1"/>
    <n v="27309.436760000001"/>
    <n v="293"/>
    <x v="2"/>
    <x v="143"/>
    <x v="2"/>
    <x v="2"/>
  </r>
  <r>
    <s v="kevIn HiCKs"/>
    <n v="66"/>
    <x v="0"/>
    <x v="4"/>
    <x v="5"/>
    <x v="148"/>
    <s v="Kelly Murphy"/>
    <x v="154"/>
    <x v="1"/>
    <n v="1897.8917269999999"/>
    <n v="196"/>
    <x v="2"/>
    <x v="144"/>
    <x v="1"/>
    <x v="2"/>
  </r>
  <r>
    <s v="MELIndA richARds"/>
    <n v="37"/>
    <x v="1"/>
    <x v="2"/>
    <x v="0"/>
    <x v="149"/>
    <s v="Katherine Brown"/>
    <x v="155"/>
    <x v="2"/>
    <n v="31308.206010000002"/>
    <n v="466"/>
    <x v="0"/>
    <x v="145"/>
    <x v="3"/>
    <x v="0"/>
  </r>
  <r>
    <s v="roBYn miRaNDa"/>
    <n v="30"/>
    <x v="1"/>
    <x v="2"/>
    <x v="2"/>
    <x v="150"/>
    <s v="Elizabeth Frank"/>
    <x v="156"/>
    <x v="1"/>
    <n v="42792.241280000002"/>
    <n v="468"/>
    <x v="2"/>
    <x v="146"/>
    <x v="1"/>
    <x v="2"/>
  </r>
  <r>
    <s v="scoTt caSTillO"/>
    <n v="78"/>
    <x v="0"/>
    <x v="3"/>
    <x v="2"/>
    <x v="151"/>
    <s v="Alyssa Edwards"/>
    <x v="157"/>
    <x v="4"/>
    <n v="14377.33432"/>
    <n v="114"/>
    <x v="1"/>
    <x v="147"/>
    <x v="3"/>
    <x v="2"/>
  </r>
  <r>
    <s v="jOHN GarciA"/>
    <n v="39"/>
    <x v="1"/>
    <x v="1"/>
    <x v="2"/>
    <x v="152"/>
    <s v="Jesse Thomas"/>
    <x v="158"/>
    <x v="3"/>
    <n v="1150.874986"/>
    <n v="408"/>
    <x v="0"/>
    <x v="148"/>
    <x v="3"/>
    <x v="2"/>
  </r>
  <r>
    <s v="miCHAeL TayloR"/>
    <n v="29"/>
    <x v="0"/>
    <x v="7"/>
    <x v="3"/>
    <x v="153"/>
    <s v="Erica Mccormick"/>
    <x v="159"/>
    <x v="1"/>
    <n v="41939.119939999997"/>
    <n v="453"/>
    <x v="2"/>
    <x v="149"/>
    <x v="1"/>
    <x v="0"/>
  </r>
  <r>
    <s v="jeFfReY WoOd"/>
    <n v="81"/>
    <x v="1"/>
    <x v="5"/>
    <x v="0"/>
    <x v="154"/>
    <s v="Amber Holmes"/>
    <x v="160"/>
    <x v="3"/>
    <n v="41982.374400000001"/>
    <n v="261"/>
    <x v="2"/>
    <x v="150"/>
    <x v="2"/>
    <x v="2"/>
  </r>
  <r>
    <s v="MiCHAEl smIth"/>
    <n v="66"/>
    <x v="1"/>
    <x v="5"/>
    <x v="1"/>
    <x v="155"/>
    <s v="Austin Jackson"/>
    <x v="161"/>
    <x v="4"/>
    <n v="33861.018629999999"/>
    <n v="115"/>
    <x v="2"/>
    <x v="151"/>
    <x v="2"/>
    <x v="0"/>
  </r>
  <r>
    <s v="wiLLiam grIFfItH"/>
    <n v="65"/>
    <x v="0"/>
    <x v="0"/>
    <x v="3"/>
    <x v="156"/>
    <s v="Shane Morris"/>
    <x v="162"/>
    <x v="2"/>
    <n v="49321.157630000002"/>
    <n v="167"/>
    <x v="1"/>
    <x v="152"/>
    <x v="3"/>
    <x v="2"/>
  </r>
  <r>
    <s v="CHrISTiNa lAwReNCe"/>
    <n v="80"/>
    <x v="0"/>
    <x v="5"/>
    <x v="3"/>
    <x v="157"/>
    <s v="Brent Smith"/>
    <x v="163"/>
    <x v="4"/>
    <n v="47433.27865"/>
    <n v="179"/>
    <x v="2"/>
    <x v="125"/>
    <x v="3"/>
    <x v="1"/>
  </r>
  <r>
    <s v="jeSsiCA HolmeS"/>
    <n v="72"/>
    <x v="1"/>
    <x v="7"/>
    <x v="5"/>
    <x v="120"/>
    <s v="Kayla Davis"/>
    <x v="164"/>
    <x v="1"/>
    <n v="19065.060890000001"/>
    <n v="490"/>
    <x v="1"/>
    <x v="153"/>
    <x v="0"/>
    <x v="2"/>
  </r>
  <r>
    <s v="traCEY grEenE"/>
    <n v="85"/>
    <x v="0"/>
    <x v="7"/>
    <x v="0"/>
    <x v="158"/>
    <s v="Rose Zuniga"/>
    <x v="165"/>
    <x v="4"/>
    <n v="50142.026949999999"/>
    <n v="258"/>
    <x v="2"/>
    <x v="154"/>
    <x v="1"/>
    <x v="2"/>
  </r>
  <r>
    <s v="aMAnda lOpeZ"/>
    <n v="68"/>
    <x v="1"/>
    <x v="3"/>
    <x v="4"/>
    <x v="159"/>
    <s v="Ethan Wagner"/>
    <x v="166"/>
    <x v="2"/>
    <n v="12081.679029999999"/>
    <n v="483"/>
    <x v="0"/>
    <x v="155"/>
    <x v="4"/>
    <x v="2"/>
  </r>
  <r>
    <s v="LaurA pEtErS"/>
    <n v="56"/>
    <x v="1"/>
    <x v="2"/>
    <x v="0"/>
    <x v="160"/>
    <s v="Phillip Williams"/>
    <x v="167"/>
    <x v="2"/>
    <n v="18030.790779999999"/>
    <n v="273"/>
    <x v="2"/>
    <x v="156"/>
    <x v="4"/>
    <x v="1"/>
  </r>
  <r>
    <s v="LAUrEn ANDErSOn"/>
    <n v="53"/>
    <x v="1"/>
    <x v="7"/>
    <x v="3"/>
    <x v="161"/>
    <s v="Maureen Hill"/>
    <x v="168"/>
    <x v="1"/>
    <n v="5142.1637629999996"/>
    <n v="120"/>
    <x v="2"/>
    <x v="157"/>
    <x v="0"/>
    <x v="2"/>
  </r>
  <r>
    <s v="wILliAm CAmpos"/>
    <n v="37"/>
    <x v="1"/>
    <x v="6"/>
    <x v="3"/>
    <x v="154"/>
    <s v="Heidi Compton MD"/>
    <x v="169"/>
    <x v="3"/>
    <n v="19851.24293"/>
    <n v="202"/>
    <x v="2"/>
    <x v="158"/>
    <x v="3"/>
    <x v="0"/>
  </r>
  <r>
    <s v="jEssiCa GoNzAleS"/>
    <n v="57"/>
    <x v="1"/>
    <x v="3"/>
    <x v="4"/>
    <x v="162"/>
    <s v="Kimberly Gonzalez"/>
    <x v="170"/>
    <x v="4"/>
    <n v="20545.871760000002"/>
    <n v="198"/>
    <x v="0"/>
    <x v="159"/>
    <x v="3"/>
    <x v="2"/>
  </r>
  <r>
    <s v="brUcE gOnzaleS"/>
    <n v="36"/>
    <x v="0"/>
    <x v="3"/>
    <x v="5"/>
    <x v="163"/>
    <s v="Rebecca Morgan"/>
    <x v="171"/>
    <x v="4"/>
    <n v="36869.725740000002"/>
    <n v="368"/>
    <x v="0"/>
    <x v="160"/>
    <x v="3"/>
    <x v="0"/>
  </r>
  <r>
    <s v="rOBert WAlsH"/>
    <n v="20"/>
    <x v="1"/>
    <x v="6"/>
    <x v="0"/>
    <x v="164"/>
    <s v="Sabrina Rogers"/>
    <x v="172"/>
    <x v="4"/>
    <n v="40598.422570000002"/>
    <n v="113"/>
    <x v="2"/>
    <x v="161"/>
    <x v="0"/>
    <x v="0"/>
  </r>
  <r>
    <s v="lIsA LeWis"/>
    <n v="83"/>
    <x v="0"/>
    <x v="7"/>
    <x v="3"/>
    <x v="74"/>
    <s v="Kevin Brown"/>
    <x v="173"/>
    <x v="2"/>
    <n v="18198.058519999999"/>
    <n v="308"/>
    <x v="0"/>
    <x v="162"/>
    <x v="1"/>
    <x v="0"/>
  </r>
  <r>
    <s v="WiLlIaM RUiZ"/>
    <n v="79"/>
    <x v="0"/>
    <x v="6"/>
    <x v="1"/>
    <x v="165"/>
    <s v="Sarah Cole"/>
    <x v="174"/>
    <x v="0"/>
    <n v="4920.0411889999996"/>
    <n v="278"/>
    <x v="2"/>
    <x v="163"/>
    <x v="0"/>
    <x v="0"/>
  </r>
  <r>
    <s v="StEven BALdWIn"/>
    <n v="62"/>
    <x v="0"/>
    <x v="3"/>
    <x v="2"/>
    <x v="166"/>
    <s v="Jennifer Hall"/>
    <x v="175"/>
    <x v="3"/>
    <n v="3864.1394989999999"/>
    <n v="103"/>
    <x v="0"/>
    <x v="164"/>
    <x v="2"/>
    <x v="1"/>
  </r>
  <r>
    <s v="meGAn CoLON"/>
    <n v="38"/>
    <x v="0"/>
    <x v="4"/>
    <x v="3"/>
    <x v="167"/>
    <s v="Emily Cruz"/>
    <x v="176"/>
    <x v="0"/>
    <n v="21562.86105"/>
    <n v="400"/>
    <x v="0"/>
    <x v="165"/>
    <x v="0"/>
    <x v="0"/>
  </r>
  <r>
    <s v="kImbErlY brOoks"/>
    <n v="75"/>
    <x v="1"/>
    <x v="0"/>
    <x v="0"/>
    <x v="168"/>
    <s v="Michael Anderson"/>
    <x v="177"/>
    <x v="1"/>
    <n v="11815.202740000001"/>
    <n v="401"/>
    <x v="2"/>
    <x v="166"/>
    <x v="1"/>
    <x v="2"/>
  </r>
  <r>
    <s v="EdWARd SMiTh jR."/>
    <n v="28"/>
    <x v="0"/>
    <x v="1"/>
    <x v="4"/>
    <x v="169"/>
    <s v="Natalie Sellers"/>
    <x v="178"/>
    <x v="4"/>
    <n v="25796.86967"/>
    <n v="258"/>
    <x v="0"/>
    <x v="2"/>
    <x v="4"/>
    <x v="2"/>
  </r>
  <r>
    <s v="aLliSoN CorDoVA"/>
    <n v="36"/>
    <x v="0"/>
    <x v="7"/>
    <x v="4"/>
    <x v="170"/>
    <s v="Patrick Ochoa"/>
    <x v="179"/>
    <x v="3"/>
    <n v="4266.7843069999999"/>
    <n v="268"/>
    <x v="1"/>
    <x v="167"/>
    <x v="4"/>
    <x v="0"/>
  </r>
  <r>
    <s v="lINdA THOMAs"/>
    <n v="54"/>
    <x v="0"/>
    <x v="4"/>
    <x v="1"/>
    <x v="171"/>
    <s v="Daniel Rodgers"/>
    <x v="180"/>
    <x v="4"/>
    <n v="4751.1627410000001"/>
    <n v="192"/>
    <x v="0"/>
    <x v="168"/>
    <x v="3"/>
    <x v="1"/>
  </r>
  <r>
    <s v="paRkEr moOrE"/>
    <n v="81"/>
    <x v="1"/>
    <x v="0"/>
    <x v="2"/>
    <x v="63"/>
    <s v="Taylor Baldwin"/>
    <x v="181"/>
    <x v="2"/>
    <n v="17968.495989999999"/>
    <n v="285"/>
    <x v="1"/>
    <x v="169"/>
    <x v="4"/>
    <x v="1"/>
  </r>
  <r>
    <s v="tanya SOto"/>
    <n v="56"/>
    <x v="1"/>
    <x v="4"/>
    <x v="1"/>
    <x v="172"/>
    <s v="Adam Ross"/>
    <x v="182"/>
    <x v="4"/>
    <n v="11311.32735"/>
    <n v="302"/>
    <x v="0"/>
    <x v="170"/>
    <x v="4"/>
    <x v="0"/>
  </r>
  <r>
    <s v="mIChaEL jOrdaN"/>
    <n v="30"/>
    <x v="0"/>
    <x v="5"/>
    <x v="4"/>
    <x v="70"/>
    <s v="Amy Williams"/>
    <x v="183"/>
    <x v="0"/>
    <n v="47242.224300000002"/>
    <n v="418"/>
    <x v="1"/>
    <x v="115"/>
    <x v="1"/>
    <x v="1"/>
  </r>
  <r>
    <s v="ChRiSTINA MArTin"/>
    <n v="64"/>
    <x v="1"/>
    <x v="2"/>
    <x v="2"/>
    <x v="173"/>
    <s v="Martha Graham"/>
    <x v="184"/>
    <x v="4"/>
    <n v="17670.505219999999"/>
    <n v="128"/>
    <x v="2"/>
    <x v="171"/>
    <x v="0"/>
    <x v="1"/>
  </r>
  <r>
    <s v="TrACy BUrke"/>
    <n v="76"/>
    <x v="0"/>
    <x v="1"/>
    <x v="1"/>
    <x v="174"/>
    <s v="Emily Thomas"/>
    <x v="185"/>
    <x v="1"/>
    <n v="5714.7480180000002"/>
    <n v="238"/>
    <x v="2"/>
    <x v="3"/>
    <x v="4"/>
    <x v="2"/>
  </r>
  <r>
    <s v="daVID SPeNCE"/>
    <n v="21"/>
    <x v="1"/>
    <x v="4"/>
    <x v="2"/>
    <x v="175"/>
    <s v="Terrance Rosales"/>
    <x v="186"/>
    <x v="4"/>
    <n v="5985.9784870000003"/>
    <n v="136"/>
    <x v="0"/>
    <x v="172"/>
    <x v="3"/>
    <x v="0"/>
  </r>
  <r>
    <s v="JOsEph fOstER"/>
    <n v="59"/>
    <x v="1"/>
    <x v="3"/>
    <x v="1"/>
    <x v="176"/>
    <s v="Daniel Smith"/>
    <x v="187"/>
    <x v="0"/>
    <n v="27385.736229999999"/>
    <n v="427"/>
    <x v="1"/>
    <x v="173"/>
    <x v="3"/>
    <x v="1"/>
  </r>
  <r>
    <s v="NIcholAs haLl"/>
    <n v="31"/>
    <x v="1"/>
    <x v="2"/>
    <x v="2"/>
    <x v="177"/>
    <s v="Marissa Stevenson"/>
    <x v="188"/>
    <x v="3"/>
    <n v="3730.002191"/>
    <n v="218"/>
    <x v="0"/>
    <x v="174"/>
    <x v="1"/>
    <x v="2"/>
  </r>
  <r>
    <s v="ChriSTiNA maCiAS"/>
    <n v="36"/>
    <x v="1"/>
    <x v="3"/>
    <x v="3"/>
    <x v="178"/>
    <s v="Katie Fitzpatrick"/>
    <x v="189"/>
    <x v="0"/>
    <n v="22480.965929999998"/>
    <n v="348"/>
    <x v="2"/>
    <x v="175"/>
    <x v="1"/>
    <x v="1"/>
  </r>
  <r>
    <s v="scoTT JoNes"/>
    <n v="42"/>
    <x v="1"/>
    <x v="6"/>
    <x v="2"/>
    <x v="179"/>
    <s v="Dennis Small"/>
    <x v="190"/>
    <x v="2"/>
    <n v="35022.316709999999"/>
    <n v="486"/>
    <x v="2"/>
    <x v="176"/>
    <x v="2"/>
    <x v="1"/>
  </r>
  <r>
    <s v="jaMEs AnDerSon"/>
    <n v="18"/>
    <x v="1"/>
    <x v="4"/>
    <x v="3"/>
    <x v="180"/>
    <s v="Chris Holt"/>
    <x v="191"/>
    <x v="0"/>
    <n v="45072.418259999999"/>
    <n v="147"/>
    <x v="0"/>
    <x v="177"/>
    <x v="4"/>
    <x v="1"/>
  </r>
  <r>
    <s v="sHaUN LonG"/>
    <n v="62"/>
    <x v="1"/>
    <x v="1"/>
    <x v="1"/>
    <x v="181"/>
    <s v="Jenny Griffith"/>
    <x v="192"/>
    <x v="3"/>
    <n v="45902.707640000001"/>
    <n v="126"/>
    <x v="0"/>
    <x v="178"/>
    <x v="2"/>
    <x v="0"/>
  </r>
  <r>
    <s v="krIStInA morA"/>
    <n v="53"/>
    <x v="0"/>
    <x v="4"/>
    <x v="4"/>
    <x v="182"/>
    <s v="Gregory Lambert"/>
    <x v="193"/>
    <x v="1"/>
    <n v="28899.18576"/>
    <n v="314"/>
    <x v="1"/>
    <x v="179"/>
    <x v="0"/>
    <x v="2"/>
  </r>
  <r>
    <s v="joshUa rIcHmOnd"/>
    <n v="82"/>
    <x v="1"/>
    <x v="1"/>
    <x v="1"/>
    <x v="183"/>
    <s v="Michael Armstrong"/>
    <x v="194"/>
    <x v="0"/>
    <n v="39003.18144"/>
    <n v="133"/>
    <x v="2"/>
    <x v="180"/>
    <x v="4"/>
    <x v="0"/>
  </r>
  <r>
    <s v="Mark lAWrencE"/>
    <n v="19"/>
    <x v="1"/>
    <x v="7"/>
    <x v="2"/>
    <x v="184"/>
    <s v="Melissa Terry"/>
    <x v="195"/>
    <x v="0"/>
    <n v="10348.818520000001"/>
    <n v="271"/>
    <x v="1"/>
    <x v="181"/>
    <x v="1"/>
    <x v="1"/>
  </r>
  <r>
    <s v="JOhN eLlis"/>
    <n v="83"/>
    <x v="1"/>
    <x v="2"/>
    <x v="4"/>
    <x v="185"/>
    <s v="Thomas Bruce"/>
    <x v="196"/>
    <x v="3"/>
    <n v="14371.539699999999"/>
    <n v="341"/>
    <x v="0"/>
    <x v="182"/>
    <x v="0"/>
    <x v="1"/>
  </r>
  <r>
    <s v="MRs. TiFFAny DeNnIs"/>
    <n v="26"/>
    <x v="0"/>
    <x v="7"/>
    <x v="2"/>
    <x v="186"/>
    <s v="James James DVM"/>
    <x v="197"/>
    <x v="3"/>
    <n v="13769.403130000001"/>
    <n v="498"/>
    <x v="0"/>
    <x v="183"/>
    <x v="1"/>
    <x v="2"/>
  </r>
  <r>
    <s v="cyNTHIa HuANG"/>
    <n v="51"/>
    <x v="0"/>
    <x v="3"/>
    <x v="5"/>
    <x v="187"/>
    <s v="Sean Smith"/>
    <x v="198"/>
    <x v="2"/>
    <n v="35868.538639999999"/>
    <n v="309"/>
    <x v="2"/>
    <x v="155"/>
    <x v="4"/>
    <x v="2"/>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r>
    <m/>
    <m/>
    <x v="2"/>
    <x v="8"/>
    <x v="6"/>
    <x v="188"/>
    <m/>
    <x v="199"/>
    <x v="5"/>
    <m/>
    <m/>
    <x v="3"/>
    <x v="184"/>
    <x v="5"/>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s v="Bobby JacksOn"/>
    <n v="30"/>
    <s v="Male"/>
    <s v="B-"/>
    <s v="Cancer"/>
    <x v="0"/>
    <s v="Matthew Smith"/>
    <s v="Sons and Miller"/>
    <s v="Blue Cross"/>
    <n v="18856.281309999998"/>
    <n v="328"/>
    <s v="Urgent"/>
    <d v="2024-02-02T00:00:00"/>
    <s v="Paracetamol"/>
    <s v="Normal"/>
  </r>
  <r>
    <s v="LesLie TErRy"/>
    <n v="62"/>
    <s v="Male"/>
    <s v="A+"/>
    <s v="Obesity"/>
    <x v="1"/>
    <s v="Samantha Davies"/>
    <s v="Kim Inc"/>
    <s v="Medicare"/>
    <n v="33643.327290000001"/>
    <n v="265"/>
    <s v="Emergency"/>
    <d v="2019-08-26T00:00:00"/>
    <s v="Ibuprofen"/>
    <s v="Inconclusive"/>
  </r>
  <r>
    <s v="DaNnY sMitH"/>
    <n v="76"/>
    <s v="Female"/>
    <s v="A-"/>
    <s v="Obesity"/>
    <x v="2"/>
    <s v="Tiffany Mitchell"/>
    <s v="Cook PLC"/>
    <s v="Aetna"/>
    <n v="27955.096079999999"/>
    <n v="205"/>
    <s v="Emergency"/>
    <d v="2022-10-07T00:00:00"/>
    <s v="Aspirin"/>
    <s v="Normal"/>
  </r>
  <r>
    <s v="andrEw waTtS"/>
    <n v="28"/>
    <s v="Female"/>
    <s v="O+"/>
    <s v="Diabetes"/>
    <x v="3"/>
    <s v="Kevin Wells"/>
    <s v="Hernandez Rogers and Vang,"/>
    <s v="Medicare"/>
    <n v="37909.78241"/>
    <n v="450"/>
    <s v="Elective"/>
    <d v="2020-12-18T00:00:00"/>
    <s v="Ibuprofen"/>
    <s v="Abnormal"/>
  </r>
  <r>
    <s v="adrIENNE bEll"/>
    <n v="43"/>
    <s v="Female"/>
    <s v="AB+"/>
    <s v="Cancer"/>
    <x v="4"/>
    <s v="Kathleen Hanna"/>
    <s v="White-White"/>
    <s v="Aetna"/>
    <n v="14238.31781"/>
    <n v="458"/>
    <s v="Urgent"/>
    <d v="2022-10-09T00:00:00"/>
    <s v="Penicillin"/>
    <s v="Abnormal"/>
  </r>
  <r>
    <s v="EMILY JOHNSOn"/>
    <n v="36"/>
    <s v="Male"/>
    <s v="A+"/>
    <s v="Asthma"/>
    <x v="5"/>
    <s v="Taylor Newton"/>
    <s v="Nunez-Humphrey"/>
    <s v="UnitedHealthcare"/>
    <n v="48145.110950000002"/>
    <n v="389"/>
    <s v="Urgent"/>
    <d v="2023-12-24T00:00:00"/>
    <s v="Ibuprofen"/>
    <s v="Normal"/>
  </r>
  <r>
    <s v="edwArD EDWaRDs"/>
    <n v="21"/>
    <s v="Female"/>
    <s v="AB-"/>
    <s v="Diabetes"/>
    <x v="6"/>
    <s v="Kelly Olson"/>
    <s v="Group Middleton"/>
    <s v="Medicare"/>
    <n v="19580.872340000002"/>
    <n v="389"/>
    <s v="Emergency"/>
    <d v="2020-11-15T00:00:00"/>
    <s v="Paracetamol"/>
    <s v="Inconclusive"/>
  </r>
  <r>
    <s v="CHrisTInA MARtinez"/>
    <n v="20"/>
    <s v="Female"/>
    <s v="A+"/>
    <s v="Cancer"/>
    <x v="7"/>
    <s v="Suzanne Thomas"/>
    <s v="Powell Robinson and Valdez,"/>
    <s v="Cigna"/>
    <n v="45820.462720000003"/>
    <n v="277"/>
    <s v="Emergency"/>
    <d v="2022-01-07T00:00:00"/>
    <s v="Paracetamol"/>
    <s v="Inconclusive"/>
  </r>
  <r>
    <s v="JASmINe aGuIlaR"/>
    <n v="82"/>
    <s v="Male"/>
    <s v="AB+"/>
    <s v="Asthma"/>
    <x v="8"/>
    <s v="Daniel Ferguson"/>
    <s v="Sons Rich and"/>
    <s v="Cigna"/>
    <n v="50119.22279"/>
    <n v="316"/>
    <s v="Elective"/>
    <d v="2020-07-14T00:00:00"/>
    <s v="Aspirin"/>
    <s v="Abnormal"/>
  </r>
  <r>
    <s v="ChRISTopher BerG"/>
    <n v="58"/>
    <s v="Female"/>
    <s v="AB-"/>
    <s v="Cancer"/>
    <x v="9"/>
    <s v="Heather Day"/>
    <s v="Padilla-Walker"/>
    <s v="UnitedHealthcare"/>
    <n v="19784.63106"/>
    <n v="249"/>
    <s v="Elective"/>
    <d v="2021-06-22T00:00:00"/>
    <s v="Paracetamol"/>
    <s v="Inconclusive"/>
  </r>
  <r>
    <s v="mIchElLe daniELs"/>
    <n v="72"/>
    <s v="Male"/>
    <s v="O+"/>
    <s v="Cancer"/>
    <x v="10"/>
    <s v="John Duncan"/>
    <s v="Schaefer-Porter"/>
    <s v="Medicare"/>
    <n v="12576.795609999999"/>
    <n v="394"/>
    <s v="Urgent"/>
    <d v="2020-04-22T00:00:00"/>
    <s v="Paracetamol"/>
    <s v="Normal"/>
  </r>
  <r>
    <s v="aaRon MARtiNeZ"/>
    <n v="38"/>
    <s v="Female"/>
    <s v="A-"/>
    <s v="Hypertension"/>
    <x v="11"/>
    <s v="Douglas Mayo"/>
    <s v="Lyons-Blair"/>
    <s v="Medicare"/>
    <n v="7999.5868799999998"/>
    <n v="288"/>
    <s v="Urgent"/>
    <d v="2023-09-05T00:00:00"/>
    <s v="Lipitor"/>
    <s v="Inconclusive"/>
  </r>
  <r>
    <s v="connOR HANsEn"/>
    <n v="75"/>
    <s v="Female"/>
    <s v="A+"/>
    <s v="Diabetes"/>
    <x v="12"/>
    <s v="Kenneth Fletcher"/>
    <s v="Powers Miller, and Flores"/>
    <s v="Cigna"/>
    <n v="43282.283360000001"/>
    <n v="134"/>
    <s v="Emergency"/>
    <d v="2019-12-28T00:00:00"/>
    <s v="Penicillin"/>
    <s v="Abnormal"/>
  </r>
  <r>
    <s v="rObeRt bAuer"/>
    <n v="68"/>
    <s v="Female"/>
    <s v="AB+"/>
    <s v="Asthma"/>
    <x v="13"/>
    <s v="Theresa Freeman"/>
    <s v="Rivera-Gutierrez"/>
    <s v="UnitedHealthcare"/>
    <n v="33207.706630000001"/>
    <n v="309"/>
    <s v="Urgent"/>
    <d v="2020-06-19T00:00:00"/>
    <s v="Lipitor"/>
    <s v="Normal"/>
  </r>
  <r>
    <s v="bROOkE brady"/>
    <n v="44"/>
    <s v="Female"/>
    <s v="AB+"/>
    <s v="Cancer"/>
    <x v="14"/>
    <s v="Roberta Stewart"/>
    <s v="Morris-Arellano"/>
    <s v="UnitedHealthcare"/>
    <n v="40701.59923"/>
    <n v="182"/>
    <s v="Urgent"/>
    <d v="2021-10-13T00:00:00"/>
    <s v="Paracetamol"/>
    <s v="Normal"/>
  </r>
  <r>
    <s v="MS. nAtalIE gAMble"/>
    <n v="46"/>
    <s v="Female"/>
    <s v="AB-"/>
    <s v="Obesity"/>
    <x v="15"/>
    <s v="Maria Dougherty"/>
    <s v="Cline-Williams"/>
    <s v="Blue Cross"/>
    <n v="12263.35743"/>
    <n v="465"/>
    <s v="Elective"/>
    <d v="2023-01-11T00:00:00"/>
    <s v="Aspirin"/>
    <s v="Inconclusive"/>
  </r>
  <r>
    <s v="haley perkins"/>
    <n v="63"/>
    <s v="Female"/>
    <s v="A+"/>
    <s v="Arthritis"/>
    <x v="16"/>
    <s v="Erica Spencer"/>
    <s v="Cervantes-Wells"/>
    <s v="UnitedHealthcare"/>
    <n v="24499.847900000001"/>
    <n v="114"/>
    <s v="Elective"/>
    <d v="2020-07-14T00:00:00"/>
    <s v="Paracetamol"/>
    <s v="Normal"/>
  </r>
  <r>
    <s v="mRS. jamiE cAMPBELl"/>
    <n v="38"/>
    <s v="Male"/>
    <s v="AB-"/>
    <s v="Obesity"/>
    <x v="17"/>
    <s v="Justin Kim"/>
    <s v="Torres, and Harrison Jones"/>
    <s v="Cigna"/>
    <n v="17440.46544"/>
    <n v="449"/>
    <s v="Urgent"/>
    <d v="2020-04-02T00:00:00"/>
    <s v="Paracetamol"/>
    <s v="Abnormal"/>
  </r>
  <r>
    <s v="LuKE BuRgEss"/>
    <n v="34"/>
    <s v="Female"/>
    <s v="A-"/>
    <s v="Hypertension"/>
    <x v="18"/>
    <s v="Justin Moore Jr."/>
    <s v="Houston PLC"/>
    <s v="Blue Cross"/>
    <n v="18843.023020000001"/>
    <n v="260"/>
    <s v="Elective"/>
    <d v="2021-03-14T00:00:00"/>
    <s v="Aspirin"/>
    <s v="Abnormal"/>
  </r>
  <r>
    <s v="dANIEL schmIdt"/>
    <n v="63"/>
    <s v="Male"/>
    <s v="B+"/>
    <s v="Asthma"/>
    <x v="19"/>
    <s v="Denise Galloway"/>
    <s v="Hammond Ltd"/>
    <s v="Cigna"/>
    <n v="23762.203580000001"/>
    <n v="465"/>
    <s v="Elective"/>
    <d v="2022-11-22T00:00:00"/>
    <s v="Penicillin"/>
    <s v="Normal"/>
  </r>
  <r>
    <s v="tIMOTHY burNs"/>
    <n v="67"/>
    <s v="Female"/>
    <s v="A-"/>
    <s v="Asthma"/>
    <x v="20"/>
    <s v="Krista Smith"/>
    <s v="Jones LLC"/>
    <s v="Blue Cross"/>
    <n v="42.514588549999999"/>
    <n v="115"/>
    <s v="Elective"/>
    <d v="2023-07-02T00:00:00"/>
    <s v="Aspirin"/>
    <s v="Normal"/>
  </r>
  <r>
    <s v="ChRISToPHEr BRiGhT"/>
    <n v="48"/>
    <s v="Male"/>
    <s v="B+"/>
    <s v="Asthma"/>
    <x v="21"/>
    <s v="Gregory Smith"/>
    <s v="Williams-Davis"/>
    <s v="Aetna"/>
    <n v="17695.911619999999"/>
    <n v="295"/>
    <s v="Urgent"/>
    <d v="2020-02-09T00:00:00"/>
    <s v="Lipitor"/>
    <s v="Normal"/>
  </r>
  <r>
    <s v="KatHRYn StewArt"/>
    <n v="58"/>
    <s v="Female"/>
    <s v="O+"/>
    <s v="Arthritis"/>
    <x v="22"/>
    <s v="Vanessa Newton"/>
    <s v="Clark-Mayo"/>
    <s v="Aetna"/>
    <n v="5998.1029079999998"/>
    <n v="327"/>
    <s v="Urgent"/>
    <d v="2022-06-10T00:00:00"/>
    <s v="Lipitor"/>
    <s v="Inconclusive"/>
  </r>
  <r>
    <s v="dR. EilEEn thomPsoN"/>
    <n v="59"/>
    <s v="Male"/>
    <s v="A+"/>
    <s v="Asthma"/>
    <x v="23"/>
    <s v="Donna Martinez MD"/>
    <s v="and Sons Smith"/>
    <s v="Aetna"/>
    <n v="25250.05243"/>
    <n v="119"/>
    <s v="Urgent"/>
    <d v="2021-08-12T00:00:00"/>
    <s v="Lipitor"/>
    <s v="Inconclusive"/>
  </r>
  <r>
    <s v="PAUl hEndERsOn"/>
    <n v="72"/>
    <s v="Female"/>
    <s v="AB+"/>
    <s v="Hypertension"/>
    <x v="24"/>
    <s v="Stephanie Kramer"/>
    <s v="Wilson Group"/>
    <s v="Medicare"/>
    <n v="33211.295420000002"/>
    <n v="109"/>
    <s v="Emergency"/>
    <d v="2020-06-08T00:00:00"/>
    <s v="Paracetamol"/>
    <s v="Inconclusive"/>
  </r>
  <r>
    <s v="PeTER fiTzgeRaLd"/>
    <n v="73"/>
    <s v="Male"/>
    <s v="AB+"/>
    <s v="Obesity"/>
    <x v="24"/>
    <s v="Angela Contreras"/>
    <s v="Garner-Bowman"/>
    <s v="Medicare"/>
    <n v="19746.832009999998"/>
    <n v="162"/>
    <s v="Urgent"/>
    <d v="2020-05-20T00:00:00"/>
    <s v="Aspirin"/>
    <s v="Abnormal"/>
  </r>
  <r>
    <s v="cathy sMaLl"/>
    <n v="51"/>
    <s v="Female"/>
    <s v="O-"/>
    <s v="Asthma"/>
    <x v="25"/>
    <s v="Wendy Glenn"/>
    <s v="Brown, and Jones Weaver"/>
    <s v="Blue Cross"/>
    <n v="26786.529559999999"/>
    <n v="401"/>
    <s v="Elective"/>
    <d v="2024-01-19T00:00:00"/>
    <s v="Ibuprofen"/>
    <s v="Normal"/>
  </r>
  <r>
    <s v="mr. KenNEth MoORE"/>
    <n v="34"/>
    <s v="Female"/>
    <s v="A+"/>
    <s v="Diabetes"/>
    <x v="26"/>
    <s v="James Ellis"/>
    <s v="Serrano-Dixon"/>
    <s v="UnitedHealthcare"/>
    <n v="18834.801340000002"/>
    <n v="157"/>
    <s v="Emergency"/>
    <d v="2022-06-30T00:00:00"/>
    <s v="Lipitor"/>
    <s v="Abnormal"/>
  </r>
  <r>
    <s v="MaRy hUNter"/>
    <n v="38"/>
    <s v="Female"/>
    <s v="O-"/>
    <s v="Hypertension"/>
    <x v="27"/>
    <s v="Jared Bruce Jr."/>
    <s v="Gardner-Miller"/>
    <s v="Cigna"/>
    <n v="32643.299350000001"/>
    <n v="223"/>
    <s v="Emergency"/>
    <d v="2021-01-16T00:00:00"/>
    <s v="Penicillin"/>
    <s v="Normal"/>
  </r>
  <r>
    <s v="jOSHUA OLiVer"/>
    <n v="63"/>
    <s v="Female"/>
    <s v="B+"/>
    <s v="Hypertension"/>
    <x v="28"/>
    <s v="Brandy Mitchell"/>
    <s v="Guerrero-Boone"/>
    <s v="Aetna"/>
    <n v="5767.0110539999996"/>
    <n v="293"/>
    <s v="Elective"/>
    <d v="2023-10-12T00:00:00"/>
    <s v="Paracetamol"/>
    <s v="Abnormal"/>
  </r>
  <r>
    <s v="ThOMAS MartInEZ"/>
    <n v="34"/>
    <s v="Male"/>
    <s v="B-"/>
    <s v="Asthma"/>
    <x v="29"/>
    <s v="Jacob Huynh"/>
    <s v="Hart Ltd"/>
    <s v="Cigna"/>
    <n v="47909.128810000002"/>
    <n v="371"/>
    <s v="Urgent"/>
    <d v="2019-09-01T00:00:00"/>
    <s v="Ibuprofen"/>
    <s v="Inconclusive"/>
  </r>
  <r>
    <s v="JAmES pattERson"/>
    <n v="23"/>
    <s v="Female"/>
    <s v="A+"/>
    <s v="Arthritis"/>
    <x v="30"/>
    <s v="Kristina Frazier"/>
    <s v="Cruz-Santiago"/>
    <s v="UnitedHealthcare"/>
    <n v="25835.32359"/>
    <n v="108"/>
    <s v="Urgent"/>
    <d v="2019-11-29T00:00:00"/>
    <s v="Penicillin"/>
    <s v="Abnormal"/>
  </r>
  <r>
    <s v="WilLIAM cOOPEr"/>
    <n v="78"/>
    <s v="Male"/>
    <s v="AB-"/>
    <s v="Arthritis"/>
    <x v="31"/>
    <s v="John Hartman"/>
    <s v="Group Duncan"/>
    <s v="Medicare"/>
    <n v="17993.226200000001"/>
    <n v="245"/>
    <s v="Elective"/>
    <d v="2023-06-15T00:00:00"/>
    <s v="Penicillin"/>
    <s v="Normal"/>
  </r>
  <r>
    <s v="Erin oRTEga"/>
    <n v="43"/>
    <s v="Male"/>
    <s v="AB-"/>
    <s v="Cancer"/>
    <x v="32"/>
    <s v="Heather Garcia"/>
    <s v="Lopez-Phillips"/>
    <s v="Medicare"/>
    <n v="21185.953529999999"/>
    <n v="494"/>
    <s v="Elective"/>
    <d v="2023-06-03T00:00:00"/>
    <s v="Ibuprofen"/>
    <s v="Normal"/>
  </r>
  <r>
    <s v="NicOlE RodriGUEz"/>
    <n v="30"/>
    <s v="Female"/>
    <s v="AB+"/>
    <s v="Diabetes"/>
    <x v="33"/>
    <s v="Lynn Young"/>
    <s v="Poole Inc"/>
    <s v="Blue Cross"/>
    <n v="8408.9493540000003"/>
    <n v="285"/>
    <s v="Emergency"/>
    <d v="2020-02-10T00:00:00"/>
    <s v="Lipitor"/>
    <s v="Normal"/>
  </r>
  <r>
    <s v="DAvID AndErSON"/>
    <n v="25"/>
    <s v="Female"/>
    <s v="AB+"/>
    <s v="Asthma"/>
    <x v="34"/>
    <s v="Emma Allison"/>
    <s v="Sons and Cox"/>
    <s v="Medicare"/>
    <n v="45453.418550000002"/>
    <n v="228"/>
    <s v="Elective"/>
    <d v="2021-01-26T00:00:00"/>
    <s v="Lipitor"/>
    <s v="Abnormal"/>
  </r>
  <r>
    <s v="DEnIse ToRRES"/>
    <n v="33"/>
    <s v="Male"/>
    <s v="AB+"/>
    <s v="Diabetes"/>
    <x v="35"/>
    <s v="Laura Myers"/>
    <s v="LLC Martin"/>
    <s v="Aetna"/>
    <n v="4397.7769950000002"/>
    <n v="481"/>
    <s v="Urgent"/>
    <d v="2019-10-19T00:00:00"/>
    <s v="Paracetamol"/>
    <s v="Inconclusive"/>
  </r>
  <r>
    <s v="CasSAndrA Robinson"/>
    <n v="26"/>
    <s v="Female"/>
    <s v="B-"/>
    <s v="Hypertension"/>
    <x v="36"/>
    <s v="Travis Parsons"/>
    <s v="Espinoza-Stone"/>
    <s v="Aetna"/>
    <n v="9380.3259679999992"/>
    <n v="212"/>
    <s v="Urgent"/>
    <d v="2022-01-16T00:00:00"/>
    <s v="Ibuprofen"/>
    <s v="Normal"/>
  </r>
  <r>
    <s v="NIcOlE LUcErO"/>
    <n v="70"/>
    <s v="Female"/>
    <s v="O-"/>
    <s v="Diabetes"/>
    <x v="37"/>
    <s v="Christine Johnson"/>
    <s v="and Garcia Morris Cunningham,"/>
    <s v="Cigna"/>
    <n v="48290.69341"/>
    <n v="113"/>
    <s v="Emergency"/>
    <d v="2022-03-29T00:00:00"/>
    <s v="Lipitor"/>
    <s v="Abnormal"/>
  </r>
  <r>
    <s v="PAmela fErNanDeZ"/>
    <n v="57"/>
    <s v="Female"/>
    <s v="B-"/>
    <s v="Obesity"/>
    <x v="38"/>
    <s v="Emily Taylor"/>
    <s v="Walton-Meyer"/>
    <s v="Medicare"/>
    <n v="32973.94083"/>
    <n v="272"/>
    <s v="Urgent"/>
    <d v="2021-01-29T00:00:00"/>
    <s v="Penicillin"/>
    <s v="Abnormal"/>
  </r>
  <r>
    <s v="chRiSTOPHer LEe"/>
    <n v="74"/>
    <s v="Female"/>
    <s v="B-"/>
    <s v="Hypertension"/>
    <x v="39"/>
    <s v="William Reynolds"/>
    <s v="PLC Young"/>
    <s v="Cigna"/>
    <n v="49943.2785"/>
    <n v="478"/>
    <s v="Emergency"/>
    <d v="2021-10-05T00:00:00"/>
    <s v="Lipitor"/>
    <s v="Normal"/>
  </r>
  <r>
    <s v="ThomAS morsE"/>
    <n v="81"/>
    <s v="Male"/>
    <s v="A+"/>
    <s v="Hypertension"/>
    <x v="40"/>
    <s v="Jennifer Carter"/>
    <s v="Meadows Group"/>
    <s v="Cigna"/>
    <n v="35633.955450000001"/>
    <n v="196"/>
    <s v="Urgent"/>
    <d v="2020-02-09T00:00:00"/>
    <s v="Aspirin"/>
    <s v="Normal"/>
  </r>
  <r>
    <s v="Mr. eRiC Lane"/>
    <n v="49"/>
    <s v="Female"/>
    <s v="A-"/>
    <s v="Asthma"/>
    <x v="41"/>
    <s v="Matthew Thomas"/>
    <s v="and Howell Brooks, Rogers"/>
    <s v="Cigna"/>
    <n v="25966.32861"/>
    <n v="418"/>
    <s v="Elective"/>
    <d v="2022-07-18T00:00:00"/>
    <s v="Paracetamol"/>
    <s v="Normal"/>
  </r>
  <r>
    <s v="KAThEriNE SmiTH"/>
    <n v="26"/>
    <s v="Female"/>
    <s v="AB+"/>
    <s v="Obesity"/>
    <x v="42"/>
    <s v="Mary Logan"/>
    <s v="and Mcclure White Boone,"/>
    <s v="UnitedHealthcare"/>
    <n v="21784.445070000002"/>
    <n v="410"/>
    <s v="Urgent"/>
    <d v="2021-07-01T00:00:00"/>
    <s v="Paracetamol"/>
    <s v="Normal"/>
  </r>
  <r>
    <s v="pAUL wILLiAmS"/>
    <n v="81"/>
    <s v="Female"/>
    <s v="AB-"/>
    <s v="Cancer"/>
    <x v="43"/>
    <s v="Kristin Martinez"/>
    <s v="Gates Brown, and Stuart"/>
    <s v="Medicare"/>
    <n v="42684.558879999997"/>
    <n v="328"/>
    <s v="Urgent"/>
    <d v="2020-09-08T00:00:00"/>
    <s v="Penicillin"/>
    <s v="Abnormal"/>
  </r>
  <r>
    <s v="lYNn MaRtinez"/>
    <n v="65"/>
    <s v="Male"/>
    <s v="O+"/>
    <s v="Cancer"/>
    <x v="44"/>
    <s v="Daniel Murphy"/>
    <s v="Group Armstrong"/>
    <s v="Medicare"/>
    <n v="45585.886559999999"/>
    <n v="300"/>
    <s v="Emergency"/>
    <d v="2022-11-02T00:00:00"/>
    <s v="Penicillin"/>
    <s v="Normal"/>
  </r>
  <r>
    <s v="chRIsTOpHEr CHaPmAN"/>
    <n v="31"/>
    <s v="Female"/>
    <s v="O+"/>
    <s v="Hypertension"/>
    <x v="45"/>
    <s v="Emily Patterson"/>
    <s v="Ltd Schwartz"/>
    <s v="Cigna"/>
    <n v="29615.441859999999"/>
    <n v="211"/>
    <s v="Elective"/>
    <d v="2021-12-09T00:00:00"/>
    <s v="Paracetamol"/>
    <s v="Normal"/>
  </r>
  <r>
    <s v="CHRis fRYe"/>
    <n v="58"/>
    <s v="Male"/>
    <s v="A-"/>
    <s v="Diabetes"/>
    <x v="46"/>
    <s v="Heather Smith"/>
    <s v="Nelson-Phillips"/>
    <s v="Cigna"/>
    <n v="36992.273690000002"/>
    <n v="413"/>
    <s v="Urgent"/>
    <d v="2020-05-13T00:00:00"/>
    <s v="Aspirin"/>
    <s v="Normal"/>
  </r>
  <r>
    <s v="kyLE bEnneTT"/>
    <n v="22"/>
    <s v="Male"/>
    <s v="O+"/>
    <s v="Hypertension"/>
    <x v="47"/>
    <s v="John Smith"/>
    <s v="Knight and Nguyen, Riggs"/>
    <s v="UnitedHealthcare"/>
    <n v="28051.499479999999"/>
    <n v="157"/>
    <s v="Urgent"/>
    <d v="2023-09-23T00:00:00"/>
    <s v="Ibuprofen"/>
    <s v="Abnormal"/>
  </r>
  <r>
    <s v="BRandOn coLLINS"/>
    <n v="77"/>
    <s v="Female"/>
    <s v="O+"/>
    <s v="Asthma"/>
    <x v="48"/>
    <s v="Cameron Young"/>
    <s v="Lopez PLC"/>
    <s v="Cigna"/>
    <n v="16320.23245"/>
    <n v="138"/>
    <s v="Urgent"/>
    <d v="2019-07-29T00:00:00"/>
    <s v="Ibuprofen"/>
    <s v="Abnormal"/>
  </r>
  <r>
    <s v="mIchael LiU"/>
    <n v="30"/>
    <s v="Male"/>
    <s v="AB-"/>
    <s v="Hypertension"/>
    <x v="49"/>
    <s v="Vicki Nguyen"/>
    <s v="Fernandez and Phillips, Singh"/>
    <s v="Medicare"/>
    <n v="30590.541809999999"/>
    <n v="456"/>
    <s v="Emergency"/>
    <d v="2024-04-22T00:00:00"/>
    <s v="Paracetamol"/>
    <s v="Inconclusive"/>
  </r>
  <r>
    <s v="STepHaNie kEnt"/>
    <n v="42"/>
    <s v="Female"/>
    <s v="A-"/>
    <s v="Cancer"/>
    <x v="50"/>
    <s v="Mary Moss"/>
    <s v="Beck-Galloway"/>
    <s v="Aetna"/>
    <n v="14681.01636"/>
    <n v="234"/>
    <s v="Emergency"/>
    <d v="2019-07-05T00:00:00"/>
    <s v="Ibuprofen"/>
    <s v="Abnormal"/>
  </r>
  <r>
    <s v="JessE BaNks"/>
    <n v="67"/>
    <s v="Female"/>
    <s v="AB+"/>
    <s v="Cancer"/>
    <x v="51"/>
    <s v="Alexander Garcia"/>
    <s v="Decker Glover, and Christensen"/>
    <s v="Aetna"/>
    <n v="21879.531910000002"/>
    <n v="492"/>
    <s v="Urgent"/>
    <d v="2022-11-20T00:00:00"/>
    <s v="Penicillin"/>
    <s v="Inconclusive"/>
  </r>
  <r>
    <s v="PeGGY LEe"/>
    <n v="24"/>
    <s v="Female"/>
    <s v="A-"/>
    <s v="Obesity"/>
    <x v="52"/>
    <s v="Patrick Burns"/>
    <s v="Nelson Walker Myers, and"/>
    <s v="UnitedHealthcare"/>
    <n v="6767.6343969999998"/>
    <n v="180"/>
    <s v="Elective"/>
    <d v="2022-04-13T00:00:00"/>
    <s v="Lipitor"/>
    <s v="Abnormal"/>
  </r>
  <r>
    <s v="TAmARa hErNAndez"/>
    <n v="84"/>
    <s v="Female"/>
    <s v="B-"/>
    <s v="Asthma"/>
    <x v="53"/>
    <s v="Kayla Powers"/>
    <s v="Mitchell-Navarro"/>
    <s v="Cigna"/>
    <n v="19973.462930000002"/>
    <n v="250"/>
    <s v="Elective"/>
    <d v="2023-09-11T00:00:00"/>
    <s v="Ibuprofen"/>
    <s v="Inconclusive"/>
  </r>
  <r>
    <s v="mR. DAVID pIERce Md"/>
    <n v="73"/>
    <s v="Female"/>
    <s v="A-"/>
    <s v="Hypertension"/>
    <x v="54"/>
    <s v="Julia Cox"/>
    <s v="Group Delgado"/>
    <s v="UnitedHealthcare"/>
    <n v="14362.314490000001"/>
    <n v="296"/>
    <s v="Emergency"/>
    <d v="2023-11-07T00:00:00"/>
    <s v="Paracetamol"/>
    <s v="Inconclusive"/>
  </r>
  <r>
    <s v="beThaNY MoOrE"/>
    <n v="55"/>
    <s v="Female"/>
    <s v="A+"/>
    <s v="Cancer"/>
    <x v="55"/>
    <s v="Penny Pruitt"/>
    <s v="and Montes Graves, Thomas"/>
    <s v="Cigna"/>
    <n v="10300.657310000001"/>
    <n v="330"/>
    <s v="Emergency"/>
    <d v="2023-04-21T00:00:00"/>
    <s v="Paracetamol"/>
    <s v="Normal"/>
  </r>
  <r>
    <s v="MIChael MIllS"/>
    <n v="23"/>
    <s v="Male"/>
    <s v="O-"/>
    <s v="Hypertension"/>
    <x v="56"/>
    <s v="Mrs. Lori Hurst PhD"/>
    <s v="Hall-Bentley"/>
    <s v="Aetna"/>
    <n v="37951.66491"/>
    <n v="405"/>
    <s v="Emergency"/>
    <d v="2022-09-25T00:00:00"/>
    <s v="Ibuprofen"/>
    <s v="Inconclusive"/>
  </r>
  <r>
    <s v="kyle Wiley"/>
    <n v="40"/>
    <s v="Female"/>
    <s v="AB-"/>
    <s v="Cancer"/>
    <x v="57"/>
    <s v="Stephen Carr"/>
    <s v="Taylor-Nguyen"/>
    <s v="Aetna"/>
    <n v="6733.9909470000002"/>
    <n v="300"/>
    <s v="Urgent"/>
    <d v="2021-02-06T00:00:00"/>
    <s v="Ibuprofen"/>
    <s v="Normal"/>
  </r>
  <r>
    <s v="jACqUeLINE jORdaN"/>
    <n v="51"/>
    <s v="Male"/>
    <s v="O+"/>
    <s v="Hypertension"/>
    <x v="58"/>
    <s v="Jacob Daniel"/>
    <s v="Hunter-Grant"/>
    <s v="Aetna"/>
    <n v="17839.745650000001"/>
    <n v="306"/>
    <s v="Elective"/>
    <d v="2020-07-20T00:00:00"/>
    <s v="Paracetamol"/>
    <s v="Abnormal"/>
  </r>
  <r>
    <s v="ASHleY guTIERreZ"/>
    <n v="83"/>
    <s v="Male"/>
    <s v="AB+"/>
    <s v="Obesity"/>
    <x v="59"/>
    <s v="Tyler Braun"/>
    <s v="Miller-Lawson"/>
    <s v="Aetna"/>
    <n v="24637.090059999999"/>
    <n v="333"/>
    <s v="Elective"/>
    <d v="2019-11-22T00:00:00"/>
    <s v="Paracetamol"/>
    <s v="Inconclusive"/>
  </r>
  <r>
    <s v="Kim ScOtt"/>
    <n v="63"/>
    <s v="Male"/>
    <s v="A-"/>
    <s v="Asthma"/>
    <x v="60"/>
    <s v="Cindy Ellis"/>
    <s v="Scott-Kelly"/>
    <s v="UnitedHealthcare"/>
    <n v="39723.16605"/>
    <n v="244"/>
    <s v="Emergency"/>
    <d v="2024-05-04T00:00:00"/>
    <s v="Ibuprofen"/>
    <s v="Inconclusive"/>
  </r>
  <r>
    <s v="tRAvIs carTeR"/>
    <n v="18"/>
    <s v="Male"/>
    <s v="A+"/>
    <s v="Cancer"/>
    <x v="61"/>
    <s v="Megan Hahn"/>
    <s v="Moss and Ferguson, Baker"/>
    <s v="UnitedHealthcare"/>
    <n v="48407.386290000002"/>
    <n v="325"/>
    <s v="Emergency"/>
    <d v="2022-07-18T00:00:00"/>
    <s v="Aspirin"/>
    <s v="Normal"/>
  </r>
  <r>
    <s v="LArry rodgeRs"/>
    <n v="23"/>
    <s v="Female"/>
    <s v="B-"/>
    <s v="Hypertension"/>
    <x v="62"/>
    <s v="Eric Kelly"/>
    <s v="and Mason Smith Chase,"/>
    <s v="Cigna"/>
    <n v="5517.393642"/>
    <n v="113"/>
    <s v="Elective"/>
    <d v="2022-08-10T00:00:00"/>
    <s v="Aspirin"/>
    <s v="Inconclusive"/>
  </r>
  <r>
    <s v="Nancy glOVeR"/>
    <n v="58"/>
    <s v="Male"/>
    <s v="A-"/>
    <s v="Hypertension"/>
    <x v="63"/>
    <s v="Jennifer Larson"/>
    <s v="Khan, and Rodriguez Fischer"/>
    <s v="Medicare"/>
    <n v="19183.168890000001"/>
    <n v="378"/>
    <s v="Emergency"/>
    <d v="2020-06-01T00:00:00"/>
    <s v="Aspirin"/>
    <s v="Abnormal"/>
  </r>
  <r>
    <s v="JessIca king"/>
    <n v="27"/>
    <s v="Male"/>
    <s v="AB-"/>
    <s v="Cancer"/>
    <x v="64"/>
    <s v="William Hess"/>
    <s v="Sons Watson and"/>
    <s v="Medicare"/>
    <n v="8320.6608030000007"/>
    <n v="468"/>
    <s v="Urgent"/>
    <d v="2019-12-21T00:00:00"/>
    <s v="Lipitor"/>
    <s v="Abnormal"/>
  </r>
  <r>
    <s v="ChRiStOPhER gOnzAlez"/>
    <n v="59"/>
    <s v="Male"/>
    <s v="B+"/>
    <s v="Diabetes"/>
    <x v="65"/>
    <s v="Patricia Dunn"/>
    <s v="Rhodes-Carey"/>
    <s v="Medicare"/>
    <n v="10107.18765"/>
    <n v="368"/>
    <s v="Emergency"/>
    <d v="2019-12-08T00:00:00"/>
    <s v="Penicillin"/>
    <s v="Abnormal"/>
  </r>
  <r>
    <s v="jOhN hARTmAN"/>
    <n v="27"/>
    <s v="Male"/>
    <s v="B-"/>
    <s v="Hypertension"/>
    <x v="66"/>
    <s v="Jack Jackson"/>
    <s v="Bullock-Ramsey"/>
    <s v="Cigna"/>
    <n v="49402.298369999997"/>
    <n v="263"/>
    <s v="Elective"/>
    <d v="2023-01-27T00:00:00"/>
    <s v="Lipitor"/>
    <s v="Inconclusive"/>
  </r>
  <r>
    <s v="MicHAEl MillEr"/>
    <n v="31"/>
    <s v="Male"/>
    <s v="B+"/>
    <s v="Diabetes"/>
    <x v="67"/>
    <s v="Jonathan Drake"/>
    <s v="Clark Brown, and Myers"/>
    <s v="UnitedHealthcare"/>
    <n v="35776.815110000003"/>
    <n v="489"/>
    <s v="Emergency"/>
    <d v="2024-02-10T00:00:00"/>
    <s v="Penicillin"/>
    <s v="Normal"/>
  </r>
  <r>
    <s v="Erica myERS"/>
    <n v="19"/>
    <s v="Female"/>
    <s v="A+"/>
    <s v="Arthritis"/>
    <x v="68"/>
    <s v="Ian Benitez"/>
    <s v="Jackson and Lane, Dillon"/>
    <s v="Medicare"/>
    <n v="20227.863730000001"/>
    <n v="241"/>
    <s v="Elective"/>
    <d v="2020-02-12T00:00:00"/>
    <s v="Penicillin"/>
    <s v="Normal"/>
  </r>
  <r>
    <s v="cAROl PaTtERSoN"/>
    <n v="29"/>
    <s v="Female"/>
    <s v="O+"/>
    <s v="Cancer"/>
    <x v="69"/>
    <s v="Jamie Baker"/>
    <s v="Turner Cook, Banks and"/>
    <s v="Blue Cross"/>
    <n v="19328.118579999998"/>
    <n v="231"/>
    <s v="Urgent"/>
    <d v="2022-11-07T00:00:00"/>
    <s v="Ibuprofen"/>
    <s v="Normal"/>
  </r>
  <r>
    <s v="JOSe LopEz"/>
    <n v="18"/>
    <s v="Male"/>
    <s v="A-"/>
    <s v="Obesity"/>
    <x v="70"/>
    <s v="Erika Jackson"/>
    <s v="Miles, and Weaver Hudson"/>
    <s v="Aetna"/>
    <n v="46956.545729999998"/>
    <n v="377"/>
    <s v="Emergency"/>
    <d v="2022-01-15T00:00:00"/>
    <s v="Aspirin"/>
    <s v="Inconclusive"/>
  </r>
  <r>
    <s v="kEVIn SiMmoNs Jr."/>
    <n v="24"/>
    <s v="Male"/>
    <s v="AB-"/>
    <s v="Cancer"/>
    <x v="71"/>
    <s v="Amanda Garcia"/>
    <s v="Evans Ltd"/>
    <s v="Cigna"/>
    <n v="10709.69039"/>
    <n v="407"/>
    <s v="Emergency"/>
    <d v="2024-01-02T00:00:00"/>
    <s v="Paracetamol"/>
    <s v="Abnormal"/>
  </r>
  <r>
    <s v="DuANe HaneY"/>
    <n v="27"/>
    <s v="Male"/>
    <s v="AB-"/>
    <s v="Diabetes"/>
    <x v="72"/>
    <s v="Raven Wong"/>
    <s v="Sons and Schaefer"/>
    <s v="Aetna"/>
    <n v="45353.99078"/>
    <n v="263"/>
    <s v="Urgent"/>
    <d v="2021-10-14T00:00:00"/>
    <s v="Penicillin"/>
    <s v="Abnormal"/>
  </r>
  <r>
    <s v="JONathAn yaTeS"/>
    <n v="57"/>
    <s v="Female"/>
    <s v="AB-"/>
    <s v="Arthritis"/>
    <x v="73"/>
    <s v="Cynthia Scott"/>
    <s v="Sons Hodges and"/>
    <s v="Aetna"/>
    <n v="8451.0017580000003"/>
    <n v="135"/>
    <s v="Elective"/>
    <d v="2023-08-11T00:00:00"/>
    <s v="Paracetamol"/>
    <s v="Abnormal"/>
  </r>
  <r>
    <s v="johN THoMaS"/>
    <n v="74"/>
    <s v="Female"/>
    <s v="A+"/>
    <s v="Arthritis"/>
    <x v="74"/>
    <s v="Mark Padilla"/>
    <s v="Simpson-Mccall"/>
    <s v="UnitedHealthcare"/>
    <n v="29850.879730000001"/>
    <n v="131"/>
    <s v="Emergency"/>
    <d v="2021-12-07T00:00:00"/>
    <s v="Paracetamol"/>
    <s v="Inconclusive"/>
  </r>
  <r>
    <s v="AdriaN BuckLEY"/>
    <n v="22"/>
    <s v="Female"/>
    <s v="A-"/>
    <s v="Arthritis"/>
    <x v="75"/>
    <s v="Julie Ramirez"/>
    <s v="Lin Thompson Wells, and"/>
    <s v="Blue Cross"/>
    <n v="42696.521159999997"/>
    <n v="102"/>
    <s v="Urgent"/>
    <d v="2023-10-27T00:00:00"/>
    <s v="Penicillin"/>
    <s v="Normal"/>
  </r>
  <r>
    <s v="apRil SANTIAgO"/>
    <n v="33"/>
    <s v="Female"/>
    <s v="B-"/>
    <s v="Diabetes"/>
    <x v="76"/>
    <s v="Jacob Rich"/>
    <s v="Jones-Scott"/>
    <s v="Cigna"/>
    <n v="2305.1391400000002"/>
    <n v="249"/>
    <s v="Emergency"/>
    <d v="2021-02-04T00:00:00"/>
    <s v="Penicillin"/>
    <s v="Inconclusive"/>
  </r>
  <r>
    <s v="DIane scHultz"/>
    <n v="57"/>
    <s v="Male"/>
    <s v="B+"/>
    <s v="Arthritis"/>
    <x v="77"/>
    <s v="Mark Hartman Jr."/>
    <s v="Howe-Kelly"/>
    <s v="UnitedHealthcare"/>
    <n v="44437.470670000002"/>
    <n v="255"/>
    <s v="Emergency"/>
    <d v="2021-12-05T00:00:00"/>
    <s v="Penicillin"/>
    <s v="Inconclusive"/>
  </r>
  <r>
    <s v="tiMOThY myers"/>
    <n v="61"/>
    <s v="Male"/>
    <s v="B+"/>
    <s v="Cancer"/>
    <x v="78"/>
    <s v="Timothy Baker"/>
    <s v="and Sons Reyes"/>
    <s v="UnitedHealthcare"/>
    <n v="29504.387439999999"/>
    <n v="422"/>
    <s v="Urgent"/>
    <d v="2024-03-26T00:00:00"/>
    <s v="Ibuprofen"/>
    <s v="Inconclusive"/>
  </r>
  <r>
    <s v="NICOLE HUGhes"/>
    <n v="20"/>
    <s v="Male"/>
    <s v="O+"/>
    <s v="Arthritis"/>
    <x v="79"/>
    <s v="Lori Sanchez"/>
    <s v="Shaw-Young"/>
    <s v="Blue Cross"/>
    <n v="34617.788339999999"/>
    <n v="320"/>
    <s v="Emergency"/>
    <d v="2020-12-08T00:00:00"/>
    <s v="Ibuprofen"/>
    <s v="Abnormal"/>
  </r>
  <r>
    <s v="ChAd MorEnO"/>
    <n v="67"/>
    <s v="Male"/>
    <s v="AB+"/>
    <s v="Hypertension"/>
    <x v="80"/>
    <s v="Connie Boyd"/>
    <s v="Inc Skinner"/>
    <s v="Aetna"/>
    <n v="46814.011200000001"/>
    <n v="134"/>
    <s v="Urgent"/>
    <d v="2020-08-27T00:00:00"/>
    <s v="Penicillin"/>
    <s v="Abnormal"/>
  </r>
  <r>
    <s v="SeaN jenniNGs"/>
    <n v="80"/>
    <s v="Female"/>
    <s v="AB-"/>
    <s v="Diabetes"/>
    <x v="81"/>
    <s v="James Tucker"/>
    <s v="Clark-Johnson"/>
    <s v="Blue Cross"/>
    <n v="20257.544279999998"/>
    <n v="255"/>
    <s v="Elective"/>
    <d v="2023-12-12T00:00:00"/>
    <s v="Penicillin"/>
    <s v="Abnormal"/>
  </r>
  <r>
    <s v="DIAnE brAnch"/>
    <n v="44"/>
    <s v="Male"/>
    <s v="O+"/>
    <s v="Obesity"/>
    <x v="82"/>
    <s v="Juan Acevedo"/>
    <s v="Perez and Sons"/>
    <s v="Cigna"/>
    <n v="22841.363880000001"/>
    <n v="410"/>
    <s v="Emergency"/>
    <d v="2020-06-14T00:00:00"/>
    <s v="Aspirin"/>
    <s v="Inconclusive"/>
  </r>
  <r>
    <s v="cindY OROzco"/>
    <n v="26"/>
    <s v="Female"/>
    <s v="B-"/>
    <s v="Asthma"/>
    <x v="83"/>
    <s v="Julie Finley"/>
    <s v="Kemp LLC"/>
    <s v="Medicare"/>
    <n v="10283.71686"/>
    <n v="273"/>
    <s v="Emergency"/>
    <d v="2023-06-10T00:00:00"/>
    <s v="Ibuprofen"/>
    <s v="Abnormal"/>
  </r>
  <r>
    <s v="pAtriCIa MEdinA"/>
    <n v="80"/>
    <s v="Male"/>
    <s v="AB+"/>
    <s v="Cancer"/>
    <x v="84"/>
    <s v="Miguel Parker"/>
    <s v="LLC Dixon"/>
    <s v="UnitedHealthcare"/>
    <n v="1586.4766010000001"/>
    <n v="395"/>
    <s v="Emergency"/>
    <d v="2022-07-23T00:00:00"/>
    <s v="Ibuprofen"/>
    <s v="Normal"/>
  </r>
  <r>
    <s v="kayLa padillA"/>
    <n v="63"/>
    <s v="Male"/>
    <s v="B-"/>
    <s v="Asthma"/>
    <x v="85"/>
    <s v="Jermaine Peters"/>
    <s v="and Morales Jennings Cook,"/>
    <s v="Aetna"/>
    <n v="34774.351130000003"/>
    <n v="152"/>
    <s v="Emergency"/>
    <d v="2020-10-08T00:00:00"/>
    <s v="Penicillin"/>
    <s v="Inconclusive"/>
  </r>
  <r>
    <s v="JUan klEiN"/>
    <n v="58"/>
    <s v="Female"/>
    <s v="B-"/>
    <s v="Arthritis"/>
    <x v="86"/>
    <s v="Lisa Edwards"/>
    <s v="Group Hood"/>
    <s v="UnitedHealthcare"/>
    <n v="24870.103660000001"/>
    <n v="321"/>
    <s v="Emergency"/>
    <d v="2023-08-25T00:00:00"/>
    <s v="Ibuprofen"/>
    <s v="Inconclusive"/>
  </r>
  <r>
    <s v="wILLIAM hIlL"/>
    <n v="38"/>
    <s v="Female"/>
    <s v="A+"/>
    <s v="Cancer"/>
    <x v="87"/>
    <s v="Matthew Walker"/>
    <s v="Lindsey Inc"/>
    <s v="Cigna"/>
    <n v="39476.947509999998"/>
    <n v="428"/>
    <s v="Elective"/>
    <d v="2023-06-01T00:00:00"/>
    <s v="Aspirin"/>
    <s v="Abnormal"/>
  </r>
  <r>
    <s v="CARL BEst"/>
    <n v="60"/>
    <s v="Male"/>
    <s v="B+"/>
    <s v="Hypertension"/>
    <x v="88"/>
    <s v="Gregory Hansen"/>
    <s v="Ltd Wang"/>
    <s v="Blue Cross"/>
    <n v="26062.43432"/>
    <n v="482"/>
    <s v="Elective"/>
    <d v="2022-09-07T00:00:00"/>
    <s v="Paracetamol"/>
    <s v="Inconclusive"/>
  </r>
  <r>
    <s v="TInA GriFfin"/>
    <n v="49"/>
    <s v="Male"/>
    <s v="B+"/>
    <s v="Cancer"/>
    <x v="89"/>
    <s v="Jessica Cruz"/>
    <s v="Inc Ford"/>
    <s v="Medicare"/>
    <n v="25302.11263"/>
    <n v="268"/>
    <s v="Elective"/>
    <d v="2022-06-28T00:00:00"/>
    <s v="Penicillin"/>
    <s v="Abnormal"/>
  </r>
  <r>
    <s v="MR. TYler TAYLOR Phd"/>
    <n v="80"/>
    <s v="Male"/>
    <s v="A+"/>
    <s v="Diabetes"/>
    <x v="90"/>
    <s v="Robert Salazar"/>
    <s v="Dean-Hawkins"/>
    <s v="UnitedHealthcare"/>
    <n v="10661.51065"/>
    <n v="120"/>
    <s v="Emergency"/>
    <d v="2022-11-25T00:00:00"/>
    <s v="Lipitor"/>
    <s v="Abnormal"/>
  </r>
  <r>
    <s v="TAyLoR howeLl Dds"/>
    <n v="35"/>
    <s v="Female"/>
    <s v="B+"/>
    <s v="Diabetes"/>
    <x v="91"/>
    <s v="Kyle Patterson"/>
    <s v="Walter PLC"/>
    <s v="Blue Cross"/>
    <n v="30358.194579999999"/>
    <n v="318"/>
    <s v="Elective"/>
    <d v="2021-09-18T00:00:00"/>
    <s v="Ibuprofen"/>
    <s v="Inconclusive"/>
  </r>
  <r>
    <s v="mIcHAeL MaRTIn"/>
    <n v="84"/>
    <s v="Male"/>
    <s v="A+"/>
    <s v="Asthma"/>
    <x v="92"/>
    <s v="John Summers"/>
    <s v="Sons Horn and"/>
    <s v="Cigna"/>
    <n v="23684.52547"/>
    <n v="162"/>
    <s v="Urgent"/>
    <d v="2022-09-27T00:00:00"/>
    <s v="Ibuprofen"/>
    <s v="Inconclusive"/>
  </r>
  <r>
    <s v="heatHER mIller"/>
    <n v="76"/>
    <s v="Male"/>
    <s v="A+"/>
    <s v="Diabetes"/>
    <x v="93"/>
    <s v="Scott Grant"/>
    <s v="Powell Ward, and Mercado"/>
    <s v="Aetna"/>
    <n v="3908.9465679999998"/>
    <n v="428"/>
    <s v="Elective"/>
    <d v="2021-05-10T00:00:00"/>
    <s v="Lipitor"/>
    <s v="Inconclusive"/>
  </r>
  <r>
    <s v="cathERinE gArDnEr"/>
    <n v="79"/>
    <s v="Female"/>
    <s v="A-"/>
    <s v="Hypertension"/>
    <x v="94"/>
    <s v="David Ruiz"/>
    <s v="James Ltd"/>
    <s v="Medicare"/>
    <n v="25503.67381"/>
    <n v="144"/>
    <s v="Elective"/>
    <d v="2019-08-26T00:00:00"/>
    <s v="Lipitor"/>
    <s v="Abnormal"/>
  </r>
  <r>
    <s v="ANNE THOMPSoN"/>
    <n v="76"/>
    <s v="Female"/>
    <s v="O+"/>
    <s v="Diabetes"/>
    <x v="95"/>
    <s v="Kyle Smith"/>
    <s v="Kemp-Munoz"/>
    <s v="Aetna"/>
    <n v="6312.6076910000002"/>
    <n v="226"/>
    <s v="Elective"/>
    <d v="2024-04-14T00:00:00"/>
    <s v="Aspirin"/>
    <s v="Abnormal"/>
  </r>
  <r>
    <s v="TOdd coopeR"/>
    <n v="55"/>
    <s v="Female"/>
    <s v="A+"/>
    <s v="Diabetes"/>
    <x v="96"/>
    <s v="Jason Price"/>
    <s v="Henderson-Taylor"/>
    <s v="UnitedHealthcare"/>
    <n v="21772.341400000001"/>
    <n v="459"/>
    <s v="Elective"/>
    <d v="2022-12-31T00:00:00"/>
    <s v="Ibuprofen"/>
    <s v="Normal"/>
  </r>
  <r>
    <s v="PhILLIP lyOnS"/>
    <n v="53"/>
    <s v="Male"/>
    <s v="B-"/>
    <s v="Cancer"/>
    <x v="97"/>
    <s v="Stephanie Clements"/>
    <s v="Parsons, Hartman Martinez and"/>
    <s v="Blue Cross"/>
    <n v="30437.001789999998"/>
    <n v="208"/>
    <s v="Elective"/>
    <d v="2022-09-18T00:00:00"/>
    <s v="Aspirin"/>
    <s v="Normal"/>
  </r>
  <r>
    <s v="MaRk foRD"/>
    <n v="18"/>
    <s v="Male"/>
    <s v="B+"/>
    <s v="Asthma"/>
    <x v="98"/>
    <s v="Steven James"/>
    <s v="Luna Inc"/>
    <s v="UnitedHealthcare"/>
    <n v="28837.677049999998"/>
    <n v="227"/>
    <s v="Elective"/>
    <d v="2022-11-11T00:00:00"/>
    <s v="Aspirin"/>
    <s v="Abnormal"/>
  </r>
  <r>
    <s v="mARcUS ZAmorA"/>
    <n v="69"/>
    <s v="Male"/>
    <s v="O+"/>
    <s v="Arthritis"/>
    <x v="74"/>
    <s v="Jeremiah Wolf"/>
    <s v="Hernandez, Ritter and Huffman"/>
    <s v="Cigna"/>
    <n v="25425.727859999999"/>
    <n v="115"/>
    <s v="Elective"/>
    <d v="2021-11-21T00:00:00"/>
    <s v="Aspirin"/>
    <s v="Normal"/>
  </r>
  <r>
    <s v="KaTiE hENry"/>
    <n v="70"/>
    <s v="Male"/>
    <s v="B+"/>
    <s v="Diabetes"/>
    <x v="99"/>
    <s v="Roberto Petersen"/>
    <s v="Reed LLC"/>
    <s v="Aetna"/>
    <n v="7187.2723459999997"/>
    <n v="402"/>
    <s v="Emergency"/>
    <d v="2022-07-25T00:00:00"/>
    <s v="Aspirin"/>
    <s v="Normal"/>
  </r>
  <r>
    <s v="wilLIAm morTON"/>
    <n v="21"/>
    <s v="Male"/>
    <s v="A+"/>
    <s v="Diabetes"/>
    <x v="100"/>
    <s v="Christina Hammond"/>
    <s v="Thompson-Walker"/>
    <s v="UnitedHealthcare"/>
    <n v="3125.7364769999999"/>
    <n v="442"/>
    <s v="Urgent"/>
    <d v="2023-07-11T00:00:00"/>
    <s v="Ibuprofen"/>
    <s v="Normal"/>
  </r>
  <r>
    <s v="KaTRina maRTin"/>
    <n v="47"/>
    <s v="Male"/>
    <s v="A-"/>
    <s v="Diabetes"/>
    <x v="101"/>
    <s v="Patricia Colon"/>
    <s v="Group Nguyen"/>
    <s v="Medicare"/>
    <n v="31516.100729999998"/>
    <n v="418"/>
    <s v="Elective"/>
    <d v="2019-08-05T00:00:00"/>
    <s v="Penicillin"/>
    <s v="Inconclusive"/>
  </r>
  <r>
    <s v="HunTeR mckAy"/>
    <n v="85"/>
    <s v="Male"/>
    <s v="A-"/>
    <s v="Arthritis"/>
    <x v="102"/>
    <s v="Dominic Mitchell"/>
    <s v="Newton-White"/>
    <s v="UnitedHealthcare"/>
    <n v="40014.762349999997"/>
    <n v="425"/>
    <s v="Emergency"/>
    <d v="2021-06-03T00:00:00"/>
    <s v="Aspirin"/>
    <s v="Abnormal"/>
  </r>
  <r>
    <s v="dWAYnE DAViS"/>
    <n v="28"/>
    <s v="Male"/>
    <s v="O+"/>
    <s v="Cancer"/>
    <x v="103"/>
    <s v="Wendy Davis"/>
    <s v="Ltd Thomas"/>
    <s v="Medicare"/>
    <n v="40782.927810000001"/>
    <n v="373"/>
    <s v="Elective"/>
    <d v="2024-02-07T00:00:00"/>
    <s v="Ibuprofen"/>
    <s v="Abnormal"/>
  </r>
  <r>
    <s v="sARAH CalDweLL"/>
    <n v="62"/>
    <s v="Male"/>
    <s v="A-"/>
    <s v="Obesity"/>
    <x v="104"/>
    <s v="Daniel Carson"/>
    <s v="Pierce Ward, Torres and"/>
    <s v="Cigna"/>
    <n v="3879.0846019999999"/>
    <n v="290"/>
    <s v="Elective"/>
    <d v="2019-10-15T00:00:00"/>
    <s v="Aspirin"/>
    <s v="Inconclusive"/>
  </r>
  <r>
    <s v="DAVid higgInS"/>
    <n v="49"/>
    <s v="Female"/>
    <s v="B-"/>
    <s v="Arthritis"/>
    <x v="105"/>
    <s v="Erin Henderson MD"/>
    <s v="Evans and Hall Schneider,"/>
    <s v="Medicare"/>
    <n v="24948.47782"/>
    <n v="361"/>
    <s v="Emergency"/>
    <d v="2021-03-20T00:00:00"/>
    <s v="Penicillin"/>
    <s v="Abnormal"/>
  </r>
  <r>
    <s v="bRADlEY coMbS"/>
    <n v="52"/>
    <s v="Male"/>
    <s v="AB-"/>
    <s v="Hypertension"/>
    <x v="102"/>
    <s v="Christopher Butler"/>
    <s v="Stout-Brown"/>
    <s v="Cigna"/>
    <n v="37734.742180000001"/>
    <n v="251"/>
    <s v="Elective"/>
    <d v="2021-06-06T00:00:00"/>
    <s v="Penicillin"/>
    <s v="Abnormal"/>
  </r>
  <r>
    <s v="chrisTiNa SChMitt"/>
    <n v="53"/>
    <s v="Male"/>
    <s v="B+"/>
    <s v="Cancer"/>
    <x v="106"/>
    <s v="Samuel Robles"/>
    <s v="Cruz Ltd"/>
    <s v="UnitedHealthcare"/>
    <n v="27360.461889999999"/>
    <n v="231"/>
    <s v="Elective"/>
    <d v="2023-07-05T00:00:00"/>
    <s v="Ibuprofen"/>
    <s v="Abnormal"/>
  </r>
  <r>
    <s v="coLtoN stRONg"/>
    <n v="55"/>
    <s v="Male"/>
    <s v="AB-"/>
    <s v="Asthma"/>
    <x v="107"/>
    <s v="Benjamin Webb"/>
    <s v="Stewart Sons and"/>
    <s v="Aetna"/>
    <n v="37405.696530000001"/>
    <n v="212"/>
    <s v="Elective"/>
    <d v="2022-05-20T00:00:00"/>
    <s v="Paracetamol"/>
    <s v="Normal"/>
  </r>
  <r>
    <s v="MARK priCE"/>
    <n v="18"/>
    <s v="Male"/>
    <s v="B-"/>
    <s v="Arthritis"/>
    <x v="2"/>
    <s v="Krystal Fox"/>
    <s v="Hall Roberts and Duarte,"/>
    <s v="Medicare"/>
    <n v="31485.973160000001"/>
    <n v="440"/>
    <s v="Emergency"/>
    <d v="2022-10-14T00:00:00"/>
    <s v="Ibuprofen"/>
    <s v="Normal"/>
  </r>
  <r>
    <s v="sUZaNnE SchNeIder"/>
    <n v="52"/>
    <s v="Male"/>
    <s v="AB-"/>
    <s v="Hypertension"/>
    <x v="108"/>
    <s v="Bruce Garrett"/>
    <s v="Ramirez-Robinson"/>
    <s v="Medicare"/>
    <n v="23737.39932"/>
    <n v="414"/>
    <s v="Urgent"/>
    <d v="2023-09-18T00:00:00"/>
    <s v="Lipitor"/>
    <s v="Normal"/>
  </r>
  <r>
    <s v="MIchaEL HUrLEY"/>
    <n v="67"/>
    <s v="Male"/>
    <s v="AB-"/>
    <s v="Obesity"/>
    <x v="109"/>
    <s v="Jonathan Watson"/>
    <s v="Garcia, and Bishop Hernandez"/>
    <s v="Aetna"/>
    <n v="3326.3826749999998"/>
    <n v="424"/>
    <s v="Emergency"/>
    <d v="2019-06-04T00:00:00"/>
    <s v="Lipitor"/>
    <s v="Inconclusive"/>
  </r>
  <r>
    <s v="LIndsEy laMbErt"/>
    <n v="82"/>
    <s v="Female"/>
    <s v="A+"/>
    <s v="Hypertension"/>
    <x v="110"/>
    <s v="Christopher Guerra"/>
    <s v="and Brown Oneal, Shah"/>
    <s v="Medicare"/>
    <n v="23067.672170000002"/>
    <n v="307"/>
    <s v="Elective"/>
    <d v="2021-12-12T00:00:00"/>
    <s v="Ibuprofen"/>
    <s v="Normal"/>
  </r>
  <r>
    <s v="reBEcCA PARsONs"/>
    <n v="37"/>
    <s v="Female"/>
    <s v="O+"/>
    <s v="Asthma"/>
    <x v="111"/>
    <s v="Steven Adams"/>
    <s v="Group White"/>
    <s v="Aetna"/>
    <n v="8521.2142530000001"/>
    <n v="476"/>
    <s v="Elective"/>
    <d v="2019-12-13T00:00:00"/>
    <s v="Penicillin"/>
    <s v="Abnormal"/>
  </r>
  <r>
    <s v="jUdy joHNsoN"/>
    <n v="52"/>
    <s v="Female"/>
    <s v="AB-"/>
    <s v="Cancer"/>
    <x v="112"/>
    <s v="Victoria Patel"/>
    <s v="Hughes and Erickson, Anderson"/>
    <s v="Cigna"/>
    <n v="47985.16734"/>
    <n v="388"/>
    <s v="Elective"/>
    <d v="2020-09-06T00:00:00"/>
    <s v="Penicillin"/>
    <s v="Inconclusive"/>
  </r>
  <r>
    <s v="TOnyA caMpbell"/>
    <n v="37"/>
    <s v="Female"/>
    <s v="B+"/>
    <s v="Asthma"/>
    <x v="113"/>
    <s v="Louis Bell"/>
    <s v="Lane-Kelly"/>
    <s v="UnitedHealthcare"/>
    <n v="25230.246879999999"/>
    <n v="326"/>
    <s v="Elective"/>
    <d v="2021-03-11T00:00:00"/>
    <s v="Ibuprofen"/>
    <s v="Inconclusive"/>
  </r>
  <r>
    <s v="JAMEs Ross"/>
    <n v="83"/>
    <s v="Female"/>
    <s v="A+"/>
    <s v="Diabetes"/>
    <x v="114"/>
    <s v="Michael Baker"/>
    <s v="Cox-Hester"/>
    <s v="Blue Cross"/>
    <n v="10352.208490000001"/>
    <n v="394"/>
    <s v="Urgent"/>
    <d v="2024-01-22T00:00:00"/>
    <s v="Aspirin"/>
    <s v="Abnormal"/>
  </r>
  <r>
    <s v="SaRA COOk"/>
    <n v="33"/>
    <s v="Male"/>
    <s v="O-"/>
    <s v="Arthritis"/>
    <x v="115"/>
    <s v="Douglas Fleming"/>
    <s v="Jarvis Scott, Fleming and"/>
    <s v="Medicare"/>
    <n v="6175.8672489999999"/>
    <n v="138"/>
    <s v="Urgent"/>
    <d v="2022-01-12T00:00:00"/>
    <s v="Aspirin"/>
    <s v="Abnormal"/>
  </r>
  <r>
    <s v="annE howeLl"/>
    <n v="22"/>
    <s v="Female"/>
    <s v="A-"/>
    <s v="Obesity"/>
    <x v="88"/>
    <s v="Patrick Carter"/>
    <s v="Cline-Carpenter"/>
    <s v="Blue Cross"/>
    <n v="23499.936249999999"/>
    <n v="178"/>
    <s v="Urgent"/>
    <d v="2022-09-07T00:00:00"/>
    <s v="Penicillin"/>
    <s v="Normal"/>
  </r>
  <r>
    <s v="RENEE bAilEY"/>
    <n v="19"/>
    <s v="Female"/>
    <s v="B+"/>
    <s v="Cancer"/>
    <x v="116"/>
    <s v="Sarah Shaffer"/>
    <s v="Johnson, and Ross Harris"/>
    <s v="Medicare"/>
    <n v="33681.572639999999"/>
    <n v="177"/>
    <s v="Elective"/>
    <d v="2021-07-31T00:00:00"/>
    <s v="Ibuprofen"/>
    <s v="Abnormal"/>
  </r>
  <r>
    <s v="Jeffrey tuRNER"/>
    <n v="85"/>
    <s v="Female"/>
    <s v="O+"/>
    <s v="Obesity"/>
    <x v="117"/>
    <s v="Matthew Carter"/>
    <s v="Kim Rosario, and Hammond"/>
    <s v="Aetna"/>
    <n v="39957.940620000001"/>
    <n v="211"/>
    <s v="Urgent"/>
    <d v="2020-06-01T00:00:00"/>
    <s v="Ibuprofen"/>
    <s v="Normal"/>
  </r>
  <r>
    <s v="DR. LaUreN ClaRk DDs"/>
    <n v="19"/>
    <s v="Male"/>
    <s v="B+"/>
    <s v="Cancer"/>
    <x v="118"/>
    <s v="Brian Wagner"/>
    <s v="PLC Jimenez"/>
    <s v="UnitedHealthcare"/>
    <n v="49833.707719999999"/>
    <n v="302"/>
    <s v="Elective"/>
    <d v="2020-11-17T00:00:00"/>
    <s v="Lipitor"/>
    <s v="Inconclusive"/>
  </r>
  <r>
    <s v="terRY THoMaS"/>
    <n v="50"/>
    <s v="Female"/>
    <s v="B-"/>
    <s v="Asthma"/>
    <x v="119"/>
    <s v="Lucas Cole"/>
    <s v="Cantu-Berry"/>
    <s v="Aetna"/>
    <n v="48175.466119999997"/>
    <n v="368"/>
    <s v="Urgent"/>
    <d v="2021-07-01T00:00:00"/>
    <s v="Paracetamol"/>
    <s v="Inconclusive"/>
  </r>
  <r>
    <s v="JasOn baKEr"/>
    <n v="50"/>
    <s v="Female"/>
    <s v="O-"/>
    <s v="Obesity"/>
    <x v="120"/>
    <s v="Julia Yoder"/>
    <s v="Wright-Alexander"/>
    <s v="UnitedHealthcare"/>
    <n v="40133.967389999998"/>
    <n v="130"/>
    <s v="Urgent"/>
    <d v="2020-11-13T00:00:00"/>
    <s v="Ibuprofen"/>
    <s v="Normal"/>
  </r>
  <r>
    <s v="JEssicA gUtiERrEz"/>
    <n v="40"/>
    <s v="Male"/>
    <s v="O+"/>
    <s v="Obesity"/>
    <x v="121"/>
    <s v="Crystal Chavez"/>
    <s v="Guzman-Carlson"/>
    <s v="Aetna"/>
    <n v="9585.9521280000008"/>
    <n v="424"/>
    <s v="Urgent"/>
    <d v="2019-09-06T00:00:00"/>
    <s v="Lipitor"/>
    <s v="Inconclusive"/>
  </r>
  <r>
    <s v="COURTNey HOdGes"/>
    <n v="57"/>
    <s v="Male"/>
    <s v="AB-"/>
    <s v="Obesity"/>
    <x v="122"/>
    <s v="Brenda Lopez"/>
    <s v="Meyer-Hill"/>
    <s v="Medicare"/>
    <n v="40693.354220000001"/>
    <n v="430"/>
    <s v="Emergency"/>
    <d v="2021-12-09T00:00:00"/>
    <s v="Aspirin"/>
    <s v="Abnormal"/>
  </r>
  <r>
    <s v="ANthONy reYEs"/>
    <n v="82"/>
    <s v="Male"/>
    <s v="AB+"/>
    <s v="Obesity"/>
    <x v="123"/>
    <s v="Michael Cole"/>
    <s v="Dudley-Atkinson"/>
    <s v="UnitedHealthcare"/>
    <n v="16399.265759999998"/>
    <n v="133"/>
    <s v="Emergency"/>
    <d v="2023-11-08T00:00:00"/>
    <s v="Penicillin"/>
    <s v="Abnormal"/>
  </r>
  <r>
    <s v="LeaH cRoSs Dds"/>
    <n v="20"/>
    <s v="Male"/>
    <s v="AB+"/>
    <s v="Diabetes"/>
    <x v="124"/>
    <s v="Michael Larson"/>
    <s v="Kelly-Allen"/>
    <s v="Blue Cross"/>
    <n v="44939.565519999996"/>
    <n v="430"/>
    <s v="Emergency"/>
    <d v="2024-03-28T00:00:00"/>
    <s v="Ibuprofen"/>
    <s v="Inconclusive"/>
  </r>
  <r>
    <s v="PaUL MaRTinEz"/>
    <n v="20"/>
    <s v="Male"/>
    <s v="B+"/>
    <s v="Hypertension"/>
    <x v="125"/>
    <s v="Tracey Spence"/>
    <s v="Lewis Livingston, Lowe and"/>
    <s v="Blue Cross"/>
    <n v="10663.91001"/>
    <n v="104"/>
    <s v="Emergency"/>
    <d v="2019-10-16T00:00:00"/>
    <s v="Aspirin"/>
    <s v="Normal"/>
  </r>
  <r>
    <s v="DenisE rOdRIGuEZ"/>
    <n v="19"/>
    <s v="Female"/>
    <s v="A-"/>
    <s v="Hypertension"/>
    <x v="126"/>
    <s v="Susan Gibson"/>
    <s v="Rodriguez Ltd"/>
    <s v="Cigna"/>
    <n v="22564.787980000001"/>
    <n v="408"/>
    <s v="Elective"/>
    <d v="2020-03-07T00:00:00"/>
    <s v="Paracetamol"/>
    <s v="Normal"/>
  </r>
  <r>
    <s v="ashLEy ERIcKSoN"/>
    <n v="32"/>
    <s v="Female"/>
    <s v="AB-"/>
    <s v="Cancer"/>
    <x v="127"/>
    <s v="Gerald Hooper"/>
    <s v="and Johnson Moore, Branch"/>
    <s v="Aetna"/>
    <n v="-502.50781269999999"/>
    <n v="376"/>
    <s v="Urgent"/>
    <d v="2019-11-23T00:00:00"/>
    <s v="Penicillin"/>
    <s v="Normal"/>
  </r>
  <r>
    <s v="SEaN carDenaS"/>
    <n v="55"/>
    <s v="Male"/>
    <s v="B-"/>
    <s v="Diabetes"/>
    <x v="128"/>
    <s v="Todd Sanchez"/>
    <s v="Holmes and Hughes, Phillips"/>
    <s v="Cigna"/>
    <n v="34758.25675"/>
    <n v="331"/>
    <s v="Emergency"/>
    <d v="2021-03-05T00:00:00"/>
    <s v="Aspirin"/>
    <s v="Normal"/>
  </r>
  <r>
    <s v="aLaN AlVaREz"/>
    <n v="81"/>
    <s v="Male"/>
    <s v="B+"/>
    <s v="Hypertension"/>
    <x v="129"/>
    <s v="Elizabeth Morales"/>
    <s v="and Smith, Tucker Cross"/>
    <s v="UnitedHealthcare"/>
    <n v="46377.865149999998"/>
    <n v="275"/>
    <s v="Urgent"/>
    <d v="2021-11-22T00:00:00"/>
    <s v="Lipitor"/>
    <s v="Normal"/>
  </r>
  <r>
    <s v="JeSsICA phiLliPS"/>
    <n v="26"/>
    <s v="Male"/>
    <s v="O-"/>
    <s v="Hypertension"/>
    <x v="130"/>
    <s v="Kimberly Petersen"/>
    <s v="Sons and Lozano"/>
    <s v="Blue Cross"/>
    <n v="7555.7729650000001"/>
    <n v="425"/>
    <s v="Elective"/>
    <d v="2022-07-31T00:00:00"/>
    <s v="Paracetamol"/>
    <s v="Abnormal"/>
  </r>
  <r>
    <s v="tiMOthY CoLemaN"/>
    <n v="54"/>
    <s v="Female"/>
    <s v="AB+"/>
    <s v="Cancer"/>
    <x v="131"/>
    <s v="Misty Garcia"/>
    <s v="Russell Ltd"/>
    <s v="UnitedHealthcare"/>
    <n v="14299.99345"/>
    <n v="480"/>
    <s v="Emergency"/>
    <d v="2020-03-05T00:00:00"/>
    <s v="Lipitor"/>
    <s v="Abnormal"/>
  </r>
  <r>
    <s v="cHristina wooDS"/>
    <n v="57"/>
    <s v="Male"/>
    <s v="B-"/>
    <s v="Arthritis"/>
    <x v="132"/>
    <s v="Melissa Fernandez"/>
    <s v="Jones Ltd"/>
    <s v="Cigna"/>
    <n v="46429.508199999997"/>
    <n v="233"/>
    <s v="Elective"/>
    <d v="2021-08-19T00:00:00"/>
    <s v="Paracetamol"/>
    <s v="Inconclusive"/>
  </r>
  <r>
    <s v="mELIssa sCOtt"/>
    <n v="38"/>
    <s v="Female"/>
    <s v="AB+"/>
    <s v="Asthma"/>
    <x v="133"/>
    <s v="Kari Moore"/>
    <s v="Gordon-Ward"/>
    <s v="Medicare"/>
    <n v="17978.95074"/>
    <n v="384"/>
    <s v="Elective"/>
    <d v="2020-02-12T00:00:00"/>
    <s v="Ibuprofen"/>
    <s v="Abnormal"/>
  </r>
  <r>
    <s v="GaRy hoPkiNS"/>
    <n v="54"/>
    <s v="Male"/>
    <s v="O+"/>
    <s v="Obesity"/>
    <x v="134"/>
    <s v="David Hubbard"/>
    <s v="Barnes and Sons"/>
    <s v="Medicare"/>
    <n v="32629.067749999998"/>
    <n v="380"/>
    <s v="Elective"/>
    <d v="2021-08-13T00:00:00"/>
    <s v="Paracetamol"/>
    <s v="Normal"/>
  </r>
  <r>
    <s v="aPRIL VAleNCIA"/>
    <n v="42"/>
    <s v="Male"/>
    <s v="A+"/>
    <s v="Diabetes"/>
    <x v="135"/>
    <s v="Lonnie Morgan"/>
    <s v="Levine-Miller"/>
    <s v="Medicare"/>
    <n v="22356.226490000001"/>
    <n v="310"/>
    <s v="Urgent"/>
    <d v="2024-02-03T00:00:00"/>
    <s v="Aspirin"/>
    <s v="Inconclusive"/>
  </r>
  <r>
    <s v="riTA archER"/>
    <n v="20"/>
    <s v="Male"/>
    <s v="O-"/>
    <s v="Diabetes"/>
    <x v="136"/>
    <s v="Victoria Gonzales"/>
    <s v="and Marquez Silva Smith,"/>
    <s v="Medicare"/>
    <n v="48995.980589999999"/>
    <n v="406"/>
    <s v="Elective"/>
    <d v="2024-02-04T00:00:00"/>
    <s v="Lipitor"/>
    <s v="Normal"/>
  </r>
  <r>
    <s v="kIm PenA"/>
    <n v="44"/>
    <s v="Female"/>
    <s v="O-"/>
    <s v="Hypertension"/>
    <x v="137"/>
    <s v="Cindy White"/>
    <s v="Jackson-Copeland"/>
    <s v="UnitedHealthcare"/>
    <n v="4532.4835540000004"/>
    <n v="213"/>
    <s v="Emergency"/>
    <d v="2020-09-04T00:00:00"/>
    <s v="Lipitor"/>
    <s v="Inconclusive"/>
  </r>
  <r>
    <s v="jaSoN FOlEy"/>
    <n v="54"/>
    <s v="Male"/>
    <s v="B+"/>
    <s v="Diabetes"/>
    <x v="89"/>
    <s v="Douglas Li"/>
    <s v="Perez and Ochoa White,"/>
    <s v="Medicare"/>
    <n v="35521.582150000002"/>
    <n v="130"/>
    <s v="Elective"/>
    <d v="2022-06-24T00:00:00"/>
    <s v="Paracetamol"/>
    <s v="Normal"/>
  </r>
  <r>
    <s v="ShAUN GuzmAn"/>
    <n v="21"/>
    <s v="Female"/>
    <s v="AB-"/>
    <s v="Arthritis"/>
    <x v="138"/>
    <s v="Lori Mendoza"/>
    <s v="Ltd Conrad"/>
    <s v="Aetna"/>
    <n v="1589.5035230000001"/>
    <n v="244"/>
    <s v="Emergency"/>
    <d v="2022-04-09T00:00:00"/>
    <s v="Aspirin"/>
    <s v="Inconclusive"/>
  </r>
  <r>
    <s v="MATTHeW wHite"/>
    <n v="45"/>
    <s v="Female"/>
    <s v="AB+"/>
    <s v="Diabetes"/>
    <x v="139"/>
    <s v="Ryan Ross"/>
    <s v="Hampton-Thomas"/>
    <s v="Medicare"/>
    <n v="22950.651140000002"/>
    <n v="233"/>
    <s v="Elective"/>
    <d v="2020-06-22T00:00:00"/>
    <s v="Ibuprofen"/>
    <s v="Abnormal"/>
  </r>
  <r>
    <s v="aLExiS wilsOn"/>
    <n v="68"/>
    <s v="Female"/>
    <s v="B+"/>
    <s v="Arthritis"/>
    <x v="140"/>
    <s v="Brian Walton"/>
    <s v="Thomas-Kelley"/>
    <s v="Aetna"/>
    <n v="2678.9539359999999"/>
    <n v="427"/>
    <s v="Urgent"/>
    <d v="2019-08-21T00:00:00"/>
    <s v="Paracetamol"/>
    <s v="Abnormal"/>
  </r>
  <r>
    <s v="JaCQueLiNE maRshAll"/>
    <n v="27"/>
    <s v="Male"/>
    <s v="A+"/>
    <s v="Hypertension"/>
    <x v="141"/>
    <s v="Michael Berg"/>
    <s v="Myers-Monroe"/>
    <s v="UnitedHealthcare"/>
    <n v="39615.600659999996"/>
    <n v="500"/>
    <s v="Urgent"/>
    <d v="2024-02-24T00:00:00"/>
    <s v="Penicillin"/>
    <s v="Inconclusive"/>
  </r>
  <r>
    <s v="RoBErt hIGGInS"/>
    <n v="42"/>
    <s v="Male"/>
    <s v="AB-"/>
    <s v="Asthma"/>
    <x v="142"/>
    <s v="Scott Davis"/>
    <s v="and Ford Lee, Rodriguez"/>
    <s v="Medicare"/>
    <n v="13355.782090000001"/>
    <n v="451"/>
    <s v="Elective"/>
    <d v="2021-05-29T00:00:00"/>
    <s v="Ibuprofen"/>
    <s v="Inconclusive"/>
  </r>
  <r>
    <s v="SierRa MoRTON"/>
    <n v="27"/>
    <s v="Female"/>
    <s v="B-"/>
    <s v="Asthma"/>
    <x v="143"/>
    <s v="Daniel Shelton"/>
    <s v="Sons Garcia and"/>
    <s v="Aetna"/>
    <n v="32561.530409999999"/>
    <n v="485"/>
    <s v="Elective"/>
    <d v="2021-11-04T00:00:00"/>
    <s v="Ibuprofen"/>
    <s v="Inconclusive"/>
  </r>
  <r>
    <s v="nATAliE sTANtoN"/>
    <n v="80"/>
    <s v="Male"/>
    <s v="B+"/>
    <s v="Asthma"/>
    <x v="144"/>
    <s v="Tara Moreno"/>
    <s v="Perry Little, and Moore"/>
    <s v="Medicare"/>
    <n v="29221.340209999998"/>
    <n v="208"/>
    <s v="Emergency"/>
    <d v="2020-09-17T00:00:00"/>
    <s v="Paracetamol"/>
    <s v="Inconclusive"/>
  </r>
  <r>
    <s v="jEssica aceveDo"/>
    <n v="21"/>
    <s v="Male"/>
    <s v="O+"/>
    <s v="Diabetes"/>
    <x v="145"/>
    <s v="Kristie Morgan"/>
    <s v="Anderson Group"/>
    <s v="Medicare"/>
    <n v="12880.652410000001"/>
    <n v="267"/>
    <s v="Urgent"/>
    <d v="2021-06-22T00:00:00"/>
    <s v="Penicillin"/>
    <s v="Normal"/>
  </r>
  <r>
    <s v="JENnIfEr mCmillan"/>
    <n v="84"/>
    <s v="Female"/>
    <s v="A-"/>
    <s v="Obesity"/>
    <x v="146"/>
    <s v="Joseph Jones"/>
    <s v="Rodriguez and Sons"/>
    <s v="Aetna"/>
    <n v="15475.40324"/>
    <n v="154"/>
    <s v="Elective"/>
    <d v="2022-07-22T00:00:00"/>
    <s v="Ibuprofen"/>
    <s v="Abnormal"/>
  </r>
  <r>
    <s v="ChRISTopher mccLAiN"/>
    <n v="67"/>
    <s v="Female"/>
    <s v="O-"/>
    <s v="Arthritis"/>
    <x v="147"/>
    <s v="Maria Tran"/>
    <s v="Thomas-Huber"/>
    <s v="Medicare"/>
    <n v="27309.436760000001"/>
    <n v="293"/>
    <s v="Elective"/>
    <d v="2023-05-31T00:00:00"/>
    <s v="Aspirin"/>
    <s v="Abnormal"/>
  </r>
  <r>
    <s v="kevIn HiCKs"/>
    <n v="66"/>
    <s v="Male"/>
    <s v="AB+"/>
    <s v="Arthritis"/>
    <x v="148"/>
    <s v="Kelly Murphy"/>
    <s v="Robinson Inc"/>
    <s v="Medicare"/>
    <n v="1897.8917269999999"/>
    <n v="196"/>
    <s v="Elective"/>
    <d v="2021-07-09T00:00:00"/>
    <s v="Ibuprofen"/>
    <s v="Abnormal"/>
  </r>
  <r>
    <s v="MELIndA richARds"/>
    <n v="37"/>
    <s v="Female"/>
    <s v="A-"/>
    <s v="Cancer"/>
    <x v="149"/>
    <s v="Katherine Brown"/>
    <s v="Wood-Mathews"/>
    <s v="Aetna"/>
    <n v="31308.206010000002"/>
    <n v="466"/>
    <s v="Urgent"/>
    <d v="2023-11-25T00:00:00"/>
    <s v="Penicillin"/>
    <s v="Normal"/>
  </r>
  <r>
    <s v="roBYn miRaNDa"/>
    <n v="30"/>
    <s v="Female"/>
    <s v="A-"/>
    <s v="Diabetes"/>
    <x v="150"/>
    <s v="Elizabeth Frank"/>
    <s v="Walker and Gardner Fernandez,"/>
    <s v="Medicare"/>
    <n v="42792.241280000002"/>
    <n v="468"/>
    <s v="Elective"/>
    <d v="2020-10-21T00:00:00"/>
    <s v="Ibuprofen"/>
    <s v="Abnormal"/>
  </r>
  <r>
    <s v="scoTt caSTillO"/>
    <n v="78"/>
    <s v="Male"/>
    <s v="O+"/>
    <s v="Diabetes"/>
    <x v="151"/>
    <s v="Alyssa Edwards"/>
    <s v="Smith and Johnston, Collins"/>
    <s v="Cigna"/>
    <n v="14377.33432"/>
    <n v="114"/>
    <s v="Emergency"/>
    <d v="2021-08-27T00:00:00"/>
    <s v="Penicillin"/>
    <s v="Abnormal"/>
  </r>
  <r>
    <s v="jOHN GarciA"/>
    <n v="39"/>
    <s v="Female"/>
    <s v="A+"/>
    <s v="Diabetes"/>
    <x v="152"/>
    <s v="Jesse Thomas"/>
    <s v="Sons Miller and"/>
    <s v="UnitedHealthcare"/>
    <n v="1150.874986"/>
    <n v="408"/>
    <s v="Urgent"/>
    <d v="2023-09-07T00:00:00"/>
    <s v="Penicillin"/>
    <s v="Abnormal"/>
  </r>
  <r>
    <s v="miCHAeL TayloR"/>
    <n v="29"/>
    <s v="Male"/>
    <s v="O-"/>
    <s v="Asthma"/>
    <x v="153"/>
    <s v="Erica Mccormick"/>
    <s v="Donaldson-Frey"/>
    <s v="Medicare"/>
    <n v="41939.119939999997"/>
    <n v="453"/>
    <s v="Elective"/>
    <d v="2020-03-26T00:00:00"/>
    <s v="Ibuprofen"/>
    <s v="Normal"/>
  </r>
  <r>
    <s v="jeFfReY WoOd"/>
    <n v="81"/>
    <s v="Female"/>
    <s v="AB-"/>
    <s v="Cancer"/>
    <x v="154"/>
    <s v="Amber Holmes"/>
    <s v="Brown-Yoder"/>
    <s v="UnitedHealthcare"/>
    <n v="41982.374400000001"/>
    <n v="261"/>
    <s v="Elective"/>
    <d v="2021-07-15T00:00:00"/>
    <s v="Aspirin"/>
    <s v="Abnormal"/>
  </r>
  <r>
    <s v="MiCHAEl smIth"/>
    <n v="66"/>
    <s v="Female"/>
    <s v="AB-"/>
    <s v="Obesity"/>
    <x v="155"/>
    <s v="Austin Jackson"/>
    <s v="Morgan Rios and Keller,"/>
    <s v="Cigna"/>
    <n v="33861.018629999999"/>
    <n v="115"/>
    <s v="Elective"/>
    <d v="2022-06-27T00:00:00"/>
    <s v="Aspirin"/>
    <s v="Normal"/>
  </r>
  <r>
    <s v="wiLLiam grIFfItH"/>
    <n v="65"/>
    <s v="Male"/>
    <s v="B-"/>
    <s v="Asthma"/>
    <x v="156"/>
    <s v="Shane Morris"/>
    <s v="Gonzalez-King"/>
    <s v="Aetna"/>
    <n v="49321.157630000002"/>
    <n v="167"/>
    <s v="Emergency"/>
    <d v="2020-03-01T00:00:00"/>
    <s v="Penicillin"/>
    <s v="Abnormal"/>
  </r>
  <r>
    <s v="CHrISTiNa lAwReNCe"/>
    <n v="80"/>
    <s v="Male"/>
    <s v="AB-"/>
    <s v="Asthma"/>
    <x v="157"/>
    <s v="Brent Smith"/>
    <s v="Wagner Ltd"/>
    <s v="Cigna"/>
    <n v="47433.27865"/>
    <n v="179"/>
    <s v="Elective"/>
    <d v="2021-03-05T00:00:00"/>
    <s v="Penicillin"/>
    <s v="Inconclusive"/>
  </r>
  <r>
    <s v="jeSsiCA HolmeS"/>
    <n v="72"/>
    <s v="Female"/>
    <s v="O-"/>
    <s v="Arthritis"/>
    <x v="120"/>
    <s v="Kayla Davis"/>
    <s v="and Brown White, Jones"/>
    <s v="Medicare"/>
    <n v="19065.060890000001"/>
    <n v="490"/>
    <s v="Emergency"/>
    <d v="2020-11-02T00:00:00"/>
    <s v="Paracetamol"/>
    <s v="Abnormal"/>
  </r>
  <r>
    <s v="traCEY grEenE"/>
    <n v="85"/>
    <s v="Male"/>
    <s v="O-"/>
    <s v="Cancer"/>
    <x v="158"/>
    <s v="Rose Zuniga"/>
    <s v="James-Smith"/>
    <s v="Cigna"/>
    <n v="50142.026949999999"/>
    <n v="258"/>
    <s v="Elective"/>
    <d v="2023-12-19T00:00:00"/>
    <s v="Ibuprofen"/>
    <s v="Abnormal"/>
  </r>
  <r>
    <s v="aMAnda lOpeZ"/>
    <n v="68"/>
    <s v="Female"/>
    <s v="O+"/>
    <s v="Hypertension"/>
    <x v="159"/>
    <s v="Ethan Wagner"/>
    <s v="Hanson Group"/>
    <s v="Aetna"/>
    <n v="12081.679029999999"/>
    <n v="483"/>
    <s v="Urgent"/>
    <d v="2021-12-30T00:00:00"/>
    <s v="Lipitor"/>
    <s v="Abnormal"/>
  </r>
  <r>
    <s v="LaurA pEtErS"/>
    <n v="56"/>
    <s v="Female"/>
    <s v="A-"/>
    <s v="Cancer"/>
    <x v="160"/>
    <s v="Phillip Williams"/>
    <s v="Mcclain-Reed"/>
    <s v="Aetna"/>
    <n v="18030.790779999999"/>
    <n v="273"/>
    <s v="Elective"/>
    <d v="2023-09-30T00:00:00"/>
    <s v="Lipitor"/>
    <s v="Inconclusive"/>
  </r>
  <r>
    <s v="LAUrEn ANDErSOn"/>
    <n v="53"/>
    <s v="Female"/>
    <s v="O-"/>
    <s v="Asthma"/>
    <x v="161"/>
    <s v="Maureen Hill"/>
    <s v="Young-Smith"/>
    <s v="Medicare"/>
    <n v="5142.1637629999996"/>
    <n v="120"/>
    <s v="Elective"/>
    <d v="2020-11-10T00:00:00"/>
    <s v="Paracetamol"/>
    <s v="Abnormal"/>
  </r>
  <r>
    <s v="wILliAm CAmpos"/>
    <n v="37"/>
    <s v="Female"/>
    <s v="B+"/>
    <s v="Asthma"/>
    <x v="154"/>
    <s v="Heidi Compton MD"/>
    <s v="Hart-Brock"/>
    <s v="UnitedHealthcare"/>
    <n v="19851.24293"/>
    <n v="202"/>
    <s v="Elective"/>
    <d v="2021-07-24T00:00:00"/>
    <s v="Penicillin"/>
    <s v="Normal"/>
  </r>
  <r>
    <s v="jEssiCa GoNzAleS"/>
    <n v="57"/>
    <s v="Female"/>
    <s v="O+"/>
    <s v="Hypertension"/>
    <x v="162"/>
    <s v="Kimberly Gonzalez"/>
    <s v="Jones and Jones, Turner"/>
    <s v="Cigna"/>
    <n v="20545.871760000002"/>
    <n v="198"/>
    <s v="Urgent"/>
    <d v="2023-09-16T00:00:00"/>
    <s v="Penicillin"/>
    <s v="Abnormal"/>
  </r>
  <r>
    <s v="brUcE gOnzaleS"/>
    <n v="36"/>
    <s v="Male"/>
    <s v="O+"/>
    <s v="Arthritis"/>
    <x v="163"/>
    <s v="Rebecca Morgan"/>
    <s v="Spears-Shah"/>
    <s v="Cigna"/>
    <n v="36869.725740000002"/>
    <n v="368"/>
    <s v="Urgent"/>
    <d v="2019-12-01T00:00:00"/>
    <s v="Penicillin"/>
    <s v="Normal"/>
  </r>
  <r>
    <s v="rOBert WAlsH"/>
    <n v="20"/>
    <s v="Female"/>
    <s v="B+"/>
    <s v="Cancer"/>
    <x v="164"/>
    <s v="Sabrina Rogers"/>
    <s v="and Anderson Smith Sanchez,"/>
    <s v="Cigna"/>
    <n v="40598.422570000002"/>
    <n v="113"/>
    <s v="Elective"/>
    <d v="2020-12-17T00:00:00"/>
    <s v="Paracetamol"/>
    <s v="Normal"/>
  </r>
  <r>
    <s v="lIsA LeWis"/>
    <n v="83"/>
    <s v="Male"/>
    <s v="O-"/>
    <s v="Asthma"/>
    <x v="74"/>
    <s v="Kevin Brown"/>
    <s v="Tran, and Ferrell Garcia"/>
    <s v="Aetna"/>
    <n v="18198.058519999999"/>
    <n v="308"/>
    <s v="Urgent"/>
    <d v="2021-12-08T00:00:00"/>
    <s v="Ibuprofen"/>
    <s v="Normal"/>
  </r>
  <r>
    <s v="WiLlIaM RUiZ"/>
    <n v="79"/>
    <s v="Male"/>
    <s v="B+"/>
    <s v="Obesity"/>
    <x v="165"/>
    <s v="Sarah Cole"/>
    <s v="Ltd Walton"/>
    <s v="Blue Cross"/>
    <n v="4920.0411889999996"/>
    <n v="278"/>
    <s v="Elective"/>
    <d v="2022-02-20T00:00:00"/>
    <s v="Paracetamol"/>
    <s v="Normal"/>
  </r>
  <r>
    <s v="StEven BALdWIn"/>
    <n v="62"/>
    <s v="Male"/>
    <s v="O+"/>
    <s v="Diabetes"/>
    <x v="166"/>
    <s v="Jennifer Hall"/>
    <s v="Group Rodriguez"/>
    <s v="UnitedHealthcare"/>
    <n v="3864.1394989999999"/>
    <n v="103"/>
    <s v="Urgent"/>
    <d v="2019-05-31T00:00:00"/>
    <s v="Aspirin"/>
    <s v="Inconclusive"/>
  </r>
  <r>
    <s v="meGAn CoLON"/>
    <n v="38"/>
    <s v="Male"/>
    <s v="AB+"/>
    <s v="Asthma"/>
    <x v="167"/>
    <s v="Emily Cruz"/>
    <s v="Carr LLC"/>
    <s v="Blue Cross"/>
    <n v="21562.86105"/>
    <n v="400"/>
    <s v="Urgent"/>
    <d v="2021-08-26T00:00:00"/>
    <s v="Paracetamol"/>
    <s v="Normal"/>
  </r>
  <r>
    <s v="kImbErlY brOoks"/>
    <n v="75"/>
    <s v="Female"/>
    <s v="B-"/>
    <s v="Cancer"/>
    <x v="168"/>
    <s v="Michael Anderson"/>
    <s v="Rodriguez-Guerra"/>
    <s v="Medicare"/>
    <n v="11815.202740000001"/>
    <n v="401"/>
    <s v="Elective"/>
    <d v="2020-01-27T00:00:00"/>
    <s v="Ibuprofen"/>
    <s v="Abnormal"/>
  </r>
  <r>
    <s v="EdWARd SMiTh jR."/>
    <n v="28"/>
    <s v="Male"/>
    <s v="A+"/>
    <s v="Hypertension"/>
    <x v="169"/>
    <s v="Natalie Sellers"/>
    <s v="Sullivan Mullins, Macias and"/>
    <s v="Cigna"/>
    <n v="25796.86967"/>
    <n v="258"/>
    <s v="Urgent"/>
    <d v="2022-10-07T00:00:00"/>
    <s v="Lipitor"/>
    <s v="Abnormal"/>
  </r>
  <r>
    <s v="aLliSoN CorDoVA"/>
    <n v="36"/>
    <s v="Male"/>
    <s v="O-"/>
    <s v="Hypertension"/>
    <x v="170"/>
    <s v="Patrick Ochoa"/>
    <s v="Ballard PLC"/>
    <s v="UnitedHealthcare"/>
    <n v="4266.7843069999999"/>
    <n v="268"/>
    <s v="Emergency"/>
    <d v="2021-01-09T00:00:00"/>
    <s v="Lipitor"/>
    <s v="Normal"/>
  </r>
  <r>
    <s v="lINdA THOMAs"/>
    <n v="54"/>
    <s v="Male"/>
    <s v="AB+"/>
    <s v="Obesity"/>
    <x v="171"/>
    <s v="Daniel Rodgers"/>
    <s v="Liu-Wilson"/>
    <s v="Cigna"/>
    <n v="4751.1627410000001"/>
    <n v="192"/>
    <s v="Urgent"/>
    <d v="2023-04-29T00:00:00"/>
    <s v="Penicillin"/>
    <s v="Inconclusive"/>
  </r>
  <r>
    <s v="paRkEr moOrE"/>
    <n v="81"/>
    <s v="Female"/>
    <s v="B-"/>
    <s v="Diabetes"/>
    <x v="63"/>
    <s v="Taylor Baldwin"/>
    <s v="LLC Lewis"/>
    <s v="Aetna"/>
    <n v="17968.495989999999"/>
    <n v="285"/>
    <s v="Emergency"/>
    <d v="2020-05-28T00:00:00"/>
    <s v="Lipitor"/>
    <s v="Inconclusive"/>
  </r>
  <r>
    <s v="tanya SOto"/>
    <n v="56"/>
    <s v="Female"/>
    <s v="AB+"/>
    <s v="Obesity"/>
    <x v="172"/>
    <s v="Adam Ross"/>
    <s v="Stokes Chambers and Martin,"/>
    <s v="Cigna"/>
    <n v="11311.32735"/>
    <n v="302"/>
    <s v="Urgent"/>
    <d v="2023-08-02T00:00:00"/>
    <s v="Lipitor"/>
    <s v="Normal"/>
  </r>
  <r>
    <s v="mIChaEL jOrdaN"/>
    <n v="30"/>
    <s v="Male"/>
    <s v="AB-"/>
    <s v="Hypertension"/>
    <x v="70"/>
    <s v="Amy Williams"/>
    <s v="Hernandez-Green"/>
    <s v="Blue Cross"/>
    <n v="47242.224300000002"/>
    <n v="418"/>
    <s v="Emergency"/>
    <d v="2022-01-12T00:00:00"/>
    <s v="Ibuprofen"/>
    <s v="Inconclusive"/>
  </r>
  <r>
    <s v="ChRiSTINA MArTin"/>
    <n v="64"/>
    <s v="Female"/>
    <s v="A-"/>
    <s v="Diabetes"/>
    <x v="173"/>
    <s v="Martha Graham"/>
    <s v="Inc Lee"/>
    <s v="Cigna"/>
    <n v="17670.505219999999"/>
    <n v="128"/>
    <s v="Elective"/>
    <d v="2024-01-15T00:00:00"/>
    <s v="Paracetamol"/>
    <s v="Inconclusive"/>
  </r>
  <r>
    <s v="TrACy BUrke"/>
    <n v="76"/>
    <s v="Male"/>
    <s v="A+"/>
    <s v="Obesity"/>
    <x v="174"/>
    <s v="Emily Thomas"/>
    <s v="Wilkins Group"/>
    <s v="Medicare"/>
    <n v="5714.7480180000002"/>
    <n v="238"/>
    <s v="Elective"/>
    <d v="2020-12-18T00:00:00"/>
    <s v="Lipitor"/>
    <s v="Abnormal"/>
  </r>
  <r>
    <s v="daVID SPeNCE"/>
    <n v="21"/>
    <s v="Female"/>
    <s v="AB+"/>
    <s v="Diabetes"/>
    <x v="175"/>
    <s v="Terrance Rosales"/>
    <s v="Valentine Ltd"/>
    <s v="Cigna"/>
    <n v="5985.9784870000003"/>
    <n v="136"/>
    <s v="Urgent"/>
    <d v="2021-12-04T00:00:00"/>
    <s v="Penicillin"/>
    <s v="Normal"/>
  </r>
  <r>
    <s v="JOsEph fOstER"/>
    <n v="59"/>
    <s v="Female"/>
    <s v="O+"/>
    <s v="Obesity"/>
    <x v="176"/>
    <s v="Daniel Smith"/>
    <s v="Alvarado-Deleon"/>
    <s v="Blue Cross"/>
    <n v="27385.736229999999"/>
    <n v="427"/>
    <s v="Emergency"/>
    <d v="2019-09-15T00:00:00"/>
    <s v="Penicillin"/>
    <s v="Inconclusive"/>
  </r>
  <r>
    <s v="NIcholAs haLl"/>
    <n v="31"/>
    <s v="Female"/>
    <s v="A-"/>
    <s v="Diabetes"/>
    <x v="177"/>
    <s v="Marissa Stevenson"/>
    <s v="Alexander and Jensen Andrews,"/>
    <s v="UnitedHealthcare"/>
    <n v="3730.002191"/>
    <n v="218"/>
    <s v="Urgent"/>
    <d v="2021-01-01T00:00:00"/>
    <s v="Ibuprofen"/>
    <s v="Abnormal"/>
  </r>
  <r>
    <s v="ChriSTiNA maCiAS"/>
    <n v="36"/>
    <s v="Female"/>
    <s v="O+"/>
    <s v="Asthma"/>
    <x v="178"/>
    <s v="Katie Fitzpatrick"/>
    <s v="and Black, Henson Rhodes"/>
    <s v="Blue Cross"/>
    <n v="22480.965929999998"/>
    <n v="348"/>
    <s v="Elective"/>
    <d v="2023-01-02T00:00:00"/>
    <s v="Ibuprofen"/>
    <s v="Inconclusive"/>
  </r>
  <r>
    <s v="scoTT JoNes"/>
    <n v="42"/>
    <s v="Female"/>
    <s v="B+"/>
    <s v="Diabetes"/>
    <x v="179"/>
    <s v="Dennis Small"/>
    <s v="Sons and Marshall"/>
    <s v="Aetna"/>
    <n v="35022.316709999999"/>
    <n v="486"/>
    <s v="Elective"/>
    <d v="2021-08-05T00:00:00"/>
    <s v="Aspirin"/>
    <s v="Inconclusive"/>
  </r>
  <r>
    <s v="jaMEs AnDerSon"/>
    <n v="18"/>
    <s v="Female"/>
    <s v="AB+"/>
    <s v="Asthma"/>
    <x v="180"/>
    <s v="Chris Holt"/>
    <s v="Rodriguez-Franco"/>
    <s v="Blue Cross"/>
    <n v="45072.418259999999"/>
    <n v="147"/>
    <s v="Urgent"/>
    <d v="2022-07-04T00:00:00"/>
    <s v="Lipitor"/>
    <s v="Inconclusive"/>
  </r>
  <r>
    <s v="sHaUN LonG"/>
    <n v="62"/>
    <s v="Female"/>
    <s v="A+"/>
    <s v="Obesity"/>
    <x v="181"/>
    <s v="Jenny Griffith"/>
    <s v="Fritz Henderson Stanton, and"/>
    <s v="UnitedHealthcare"/>
    <n v="45902.707640000001"/>
    <n v="126"/>
    <s v="Urgent"/>
    <d v="2024-02-19T00:00:00"/>
    <s v="Aspirin"/>
    <s v="Normal"/>
  </r>
  <r>
    <s v="krIStInA morA"/>
    <n v="53"/>
    <s v="Male"/>
    <s v="AB+"/>
    <s v="Hypertension"/>
    <x v="182"/>
    <s v="Gregory Lambert"/>
    <s v="West-Young"/>
    <s v="Medicare"/>
    <n v="28899.18576"/>
    <n v="314"/>
    <s v="Emergency"/>
    <d v="2024-03-18T00:00:00"/>
    <s v="Paracetamol"/>
    <s v="Abnormal"/>
  </r>
  <r>
    <s v="joshUa rIcHmOnd"/>
    <n v="82"/>
    <s v="Female"/>
    <s v="A+"/>
    <s v="Obesity"/>
    <x v="183"/>
    <s v="Michael Armstrong"/>
    <s v="Ltd Solis"/>
    <s v="Blue Cross"/>
    <n v="39003.18144"/>
    <n v="133"/>
    <s v="Elective"/>
    <d v="2022-02-25T00:00:00"/>
    <s v="Lipitor"/>
    <s v="Normal"/>
  </r>
  <r>
    <s v="Mark lAWrencE"/>
    <n v="19"/>
    <s v="Female"/>
    <s v="O-"/>
    <s v="Diabetes"/>
    <x v="184"/>
    <s v="Melissa Terry"/>
    <s v="Mcneil-Blake"/>
    <s v="Blue Cross"/>
    <n v="10348.818520000001"/>
    <n v="271"/>
    <s v="Emergency"/>
    <d v="2022-02-17T00:00:00"/>
    <s v="Ibuprofen"/>
    <s v="Inconclusive"/>
  </r>
  <r>
    <s v="JOhN eLlis"/>
    <n v="83"/>
    <s v="Female"/>
    <s v="A-"/>
    <s v="Hypertension"/>
    <x v="185"/>
    <s v="Thomas Bruce"/>
    <s v="Moore-Waters"/>
    <s v="UnitedHealthcare"/>
    <n v="14371.539699999999"/>
    <n v="341"/>
    <s v="Urgent"/>
    <d v="2023-06-30T00:00:00"/>
    <s v="Paracetamol"/>
    <s v="Inconclusive"/>
  </r>
  <r>
    <s v="MRs. TiFFAny DeNnIs"/>
    <n v="26"/>
    <s v="Male"/>
    <s v="O-"/>
    <s v="Diabetes"/>
    <x v="186"/>
    <s v="James James DVM"/>
    <s v="Group Scott"/>
    <s v="UnitedHealthcare"/>
    <n v="13769.403130000001"/>
    <n v="498"/>
    <s v="Urgent"/>
    <d v="2021-10-24T00:00:00"/>
    <s v="Ibuprofen"/>
    <s v="Abnormal"/>
  </r>
  <r>
    <s v="cyNTHIa HuANG"/>
    <n v="51"/>
    <s v="Male"/>
    <s v="O+"/>
    <s v="Arthritis"/>
    <x v="187"/>
    <s v="Sean Smith"/>
    <s v="and Simmons Sons"/>
    <s v="Aetna"/>
    <n v="35868.538639999999"/>
    <n v="309"/>
    <s v="Elective"/>
    <d v="2021-12-30T00:00:00"/>
    <s v="Lipitor"/>
    <s v="Ab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BC816E-B731-475A-B6F1-F392A4C7C5AF}"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R10:DT27" firstHeaderRow="1" firstDataRow="1" firstDataCol="0"/>
  <pivotFields count="15">
    <pivotField showAll="0"/>
    <pivotField showAll="0"/>
    <pivotField showAll="0"/>
    <pivotField showAll="0"/>
    <pivotField showAll="0"/>
    <pivotField numFmtId="14" showAll="0">
      <items count="189">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t="default"/>
      </items>
    </pivotField>
    <pivotField showAll="0"/>
    <pivotField showAll="0"/>
    <pivotField showAll="0"/>
    <pivotField showAll="0"/>
    <pivotField showAll="0"/>
    <pivotField showAll="0"/>
    <pivotField numFmtId="14"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EF225C-191D-4818-98F3-0239F624D7E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I3:J9" firstHeaderRow="1" firstDataRow="1" firstDataCol="1"/>
  <pivotFields count="21">
    <pivotField showAll="0"/>
    <pivotField showAll="0"/>
    <pivotField multipleItemSelectionAllowed="1" showAll="0">
      <items count="4">
        <item x="1"/>
        <item x="0"/>
        <item x="2"/>
        <item t="default"/>
      </items>
    </pivotField>
    <pivotField showAll="0"/>
    <pivotField showAll="0">
      <items count="8">
        <item x="5"/>
        <item x="3"/>
        <item x="0"/>
        <item x="2"/>
        <item x="4"/>
        <item x="1"/>
        <item h="1" x="6"/>
        <item t="default"/>
      </items>
    </pivotField>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showAll="0">
      <items count="201">
        <item x="188"/>
        <item x="187"/>
        <item x="172"/>
        <item x="189"/>
        <item x="114"/>
        <item x="164"/>
        <item x="148"/>
        <item x="38"/>
        <item x="42"/>
        <item x="132"/>
        <item x="141"/>
        <item x="63"/>
        <item x="43"/>
        <item x="56"/>
        <item x="86"/>
        <item x="198"/>
        <item x="134"/>
        <item x="79"/>
        <item x="23"/>
        <item x="151"/>
        <item x="179"/>
        <item x="139"/>
        <item x="51"/>
        <item x="26"/>
        <item x="160"/>
        <item x="67"/>
        <item x="124"/>
        <item x="176"/>
        <item x="16"/>
        <item x="68"/>
        <item x="82"/>
        <item x="22"/>
        <item x="120"/>
        <item x="15"/>
        <item x="2"/>
        <item x="118"/>
        <item x="109"/>
        <item x="31"/>
        <item x="91"/>
        <item x="52"/>
        <item x="159"/>
        <item x="128"/>
        <item x="37"/>
        <item x="107"/>
        <item x="72"/>
        <item x="50"/>
        <item x="192"/>
        <item x="113"/>
        <item x="28"/>
        <item x="25"/>
        <item x="44"/>
        <item x="162"/>
        <item x="138"/>
        <item x="45"/>
        <item x="55"/>
        <item x="32"/>
        <item x="87"/>
        <item x="6"/>
        <item x="103"/>
        <item x="175"/>
        <item x="197"/>
        <item x="115"/>
        <item x="29"/>
        <item x="126"/>
        <item x="111"/>
        <item x="57"/>
        <item x="19"/>
        <item x="145"/>
        <item x="166"/>
        <item x="30"/>
        <item x="169"/>
        <item x="97"/>
        <item x="3"/>
        <item x="100"/>
        <item x="183"/>
        <item x="133"/>
        <item x="18"/>
        <item x="78"/>
        <item x="116"/>
        <item x="59"/>
        <item x="90"/>
        <item x="184"/>
        <item x="81"/>
        <item x="69"/>
        <item x="142"/>
        <item x="95"/>
        <item x="165"/>
        <item x="119"/>
        <item x="121"/>
        <item x="170"/>
        <item x="20"/>
        <item x="137"/>
        <item x="77"/>
        <item x="129"/>
        <item x="84"/>
        <item x="96"/>
        <item x="64"/>
        <item x="1"/>
        <item x="122"/>
        <item x="48"/>
        <item x="117"/>
        <item x="140"/>
        <item x="130"/>
        <item x="76"/>
        <item x="88"/>
        <item x="180"/>
        <item x="85"/>
        <item x="181"/>
        <item x="36"/>
        <item x="49"/>
        <item x="33"/>
        <item x="144"/>
        <item x="46"/>
        <item x="194"/>
        <item x="105"/>
        <item x="174"/>
        <item x="89"/>
        <item x="99"/>
        <item x="11"/>
        <item x="167"/>
        <item x="195"/>
        <item x="41"/>
        <item x="127"/>
        <item x="71"/>
        <item x="60"/>
        <item x="54"/>
        <item x="196"/>
        <item x="161"/>
        <item x="14"/>
        <item x="62"/>
        <item x="147"/>
        <item x="53"/>
        <item x="47"/>
        <item x="104"/>
        <item x="5"/>
        <item x="9"/>
        <item x="98"/>
        <item x="143"/>
        <item x="83"/>
        <item x="150"/>
        <item x="106"/>
        <item x="123"/>
        <item x="40"/>
        <item x="34"/>
        <item x="7"/>
        <item x="94"/>
        <item x="12"/>
        <item x="112"/>
        <item x="101"/>
        <item x="66"/>
        <item x="13"/>
        <item x="154"/>
        <item x="152"/>
        <item x="131"/>
        <item x="191"/>
        <item x="177"/>
        <item x="136"/>
        <item x="10"/>
        <item x="61"/>
        <item x="27"/>
        <item x="80"/>
        <item x="75"/>
        <item x="157"/>
        <item x="35"/>
        <item x="135"/>
        <item x="190"/>
        <item x="0"/>
        <item x="73"/>
        <item x="149"/>
        <item x="74"/>
        <item x="93"/>
        <item x="158"/>
        <item x="8"/>
        <item x="65"/>
        <item x="171"/>
        <item x="110"/>
        <item x="182"/>
        <item x="108"/>
        <item x="178"/>
        <item x="58"/>
        <item x="153"/>
        <item x="146"/>
        <item x="102"/>
        <item x="17"/>
        <item x="173"/>
        <item x="70"/>
        <item x="186"/>
        <item x="163"/>
        <item x="156"/>
        <item x="92"/>
        <item x="39"/>
        <item x="193"/>
        <item x="4"/>
        <item x="185"/>
        <item x="21"/>
        <item x="24"/>
        <item x="155"/>
        <item x="125"/>
        <item x="168"/>
        <item x="199"/>
        <item t="default"/>
      </items>
    </pivotField>
    <pivotField showAll="0"/>
    <pivotField showAll="0"/>
    <pivotField showAll="0"/>
    <pivotField showAll="0">
      <items count="5">
        <item x="2"/>
        <item x="1"/>
        <item x="0"/>
        <item h="1" x="3"/>
        <item t="default"/>
      </items>
    </pivotField>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axis="axisRow" showAll="0">
      <items count="7">
        <item x="2"/>
        <item x="1"/>
        <item x="4"/>
        <item x="0"/>
        <item x="3"/>
        <item h="1" x="5"/>
        <item t="default"/>
      </items>
    </pivotField>
    <pivotField dataField="1" showAll="0">
      <items count="5">
        <item x="2"/>
        <item x="1"/>
        <item x="0"/>
        <item x="3"/>
        <item t="default"/>
      </items>
    </pivotField>
    <pivotField showAll="0" defaultSubtotal="0"/>
    <pivotField showAll="0" defaultSubtotal="0"/>
    <pivotField showAll="0" defaultSubtotal="0">
      <items count="8">
        <item x="0"/>
        <item x="1"/>
        <item x="2"/>
        <item x="3"/>
        <item x="4"/>
        <item x="5"/>
        <item x="6"/>
        <item x="7"/>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8">
        <item sd="0" x="0"/>
        <item sd="0" x="1"/>
        <item sd="0" x="2"/>
        <item sd="0" x="3"/>
        <item sd="0" x="4"/>
        <item sd="0" x="5"/>
        <item sd="0" x="6"/>
        <item sd="0" x="7"/>
      </items>
    </pivotField>
  </pivotFields>
  <rowFields count="1">
    <field x="13"/>
  </rowFields>
  <rowItems count="6">
    <i>
      <x/>
    </i>
    <i>
      <x v="1"/>
    </i>
    <i>
      <x v="2"/>
    </i>
    <i>
      <x v="3"/>
    </i>
    <i>
      <x v="4"/>
    </i>
    <i t="grand">
      <x/>
    </i>
  </rowItems>
  <colItems count="1">
    <i/>
  </colItems>
  <dataFields count="1">
    <dataField name="Count of Test Results" fld="14" subtotal="count" baseField="0" baseItem="0"/>
  </dataFields>
  <chartFormats count="3">
    <chartFormat chart="0" format="17"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0"/>
          </reference>
        </references>
      </pivotArea>
    </chartFormat>
    <chartFormat chart="17" format="20">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75F37-BB9B-43B8-965D-66A97C6FBB85}"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8:X209" firstHeaderRow="1" firstDataRow="1" firstDataCol="1"/>
  <pivotFields count="21">
    <pivotField dataField="1" showAll="0"/>
    <pivotField showAll="0"/>
    <pivotField showAll="0">
      <items count="4">
        <item x="1"/>
        <item x="0"/>
        <item x="2"/>
        <item t="default"/>
      </items>
    </pivotField>
    <pivotField showAll="0"/>
    <pivotField showAll="0"/>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axis="axisRow" showAll="0">
      <items count="201">
        <item x="188"/>
        <item x="187"/>
        <item x="172"/>
        <item x="189"/>
        <item x="114"/>
        <item x="164"/>
        <item x="148"/>
        <item x="38"/>
        <item x="42"/>
        <item x="132"/>
        <item x="141"/>
        <item x="63"/>
        <item x="43"/>
        <item x="56"/>
        <item x="86"/>
        <item x="198"/>
        <item x="134"/>
        <item x="79"/>
        <item x="23"/>
        <item x="151"/>
        <item x="179"/>
        <item x="139"/>
        <item x="51"/>
        <item x="26"/>
        <item x="160"/>
        <item x="67"/>
        <item x="124"/>
        <item x="176"/>
        <item x="16"/>
        <item x="68"/>
        <item x="82"/>
        <item x="22"/>
        <item x="120"/>
        <item x="15"/>
        <item x="2"/>
        <item x="118"/>
        <item x="109"/>
        <item x="31"/>
        <item x="91"/>
        <item x="52"/>
        <item x="159"/>
        <item x="128"/>
        <item x="37"/>
        <item x="107"/>
        <item x="72"/>
        <item x="50"/>
        <item x="192"/>
        <item x="113"/>
        <item x="28"/>
        <item x="25"/>
        <item x="44"/>
        <item x="162"/>
        <item x="138"/>
        <item x="45"/>
        <item x="55"/>
        <item x="32"/>
        <item x="87"/>
        <item x="6"/>
        <item x="103"/>
        <item x="175"/>
        <item x="197"/>
        <item x="115"/>
        <item x="29"/>
        <item x="126"/>
        <item x="111"/>
        <item x="57"/>
        <item x="19"/>
        <item x="145"/>
        <item x="166"/>
        <item x="30"/>
        <item x="169"/>
        <item x="97"/>
        <item x="3"/>
        <item x="100"/>
        <item x="183"/>
        <item x="133"/>
        <item x="18"/>
        <item x="78"/>
        <item x="116"/>
        <item x="59"/>
        <item x="90"/>
        <item x="184"/>
        <item x="81"/>
        <item x="69"/>
        <item x="142"/>
        <item x="95"/>
        <item x="165"/>
        <item x="119"/>
        <item x="121"/>
        <item x="170"/>
        <item x="20"/>
        <item x="137"/>
        <item x="77"/>
        <item x="129"/>
        <item x="84"/>
        <item x="96"/>
        <item x="64"/>
        <item x="1"/>
        <item x="122"/>
        <item x="48"/>
        <item x="117"/>
        <item x="140"/>
        <item x="130"/>
        <item x="76"/>
        <item x="88"/>
        <item x="180"/>
        <item x="85"/>
        <item x="181"/>
        <item x="36"/>
        <item x="49"/>
        <item x="33"/>
        <item x="144"/>
        <item x="46"/>
        <item x="194"/>
        <item x="105"/>
        <item x="174"/>
        <item x="89"/>
        <item x="99"/>
        <item x="11"/>
        <item x="167"/>
        <item x="195"/>
        <item x="41"/>
        <item x="127"/>
        <item x="71"/>
        <item x="60"/>
        <item x="54"/>
        <item x="196"/>
        <item x="161"/>
        <item x="14"/>
        <item x="62"/>
        <item x="147"/>
        <item x="53"/>
        <item x="47"/>
        <item x="104"/>
        <item x="5"/>
        <item x="9"/>
        <item x="98"/>
        <item x="143"/>
        <item x="83"/>
        <item x="150"/>
        <item x="106"/>
        <item x="123"/>
        <item x="40"/>
        <item x="34"/>
        <item x="7"/>
        <item x="94"/>
        <item x="12"/>
        <item x="112"/>
        <item x="101"/>
        <item x="66"/>
        <item x="13"/>
        <item x="154"/>
        <item x="152"/>
        <item x="131"/>
        <item x="191"/>
        <item x="177"/>
        <item x="136"/>
        <item x="10"/>
        <item x="61"/>
        <item x="27"/>
        <item x="80"/>
        <item x="75"/>
        <item x="157"/>
        <item x="35"/>
        <item x="135"/>
        <item x="190"/>
        <item x="0"/>
        <item x="73"/>
        <item x="149"/>
        <item x="74"/>
        <item x="93"/>
        <item x="158"/>
        <item x="8"/>
        <item x="65"/>
        <item x="171"/>
        <item x="110"/>
        <item x="182"/>
        <item x="108"/>
        <item x="178"/>
        <item x="58"/>
        <item x="153"/>
        <item x="146"/>
        <item x="102"/>
        <item x="17"/>
        <item x="173"/>
        <item x="70"/>
        <item x="186"/>
        <item x="163"/>
        <item x="156"/>
        <item x="92"/>
        <item x="39"/>
        <item x="193"/>
        <item x="4"/>
        <item x="185"/>
        <item x="21"/>
        <item x="24"/>
        <item x="155"/>
        <item x="125"/>
        <item x="168"/>
        <item x="199"/>
        <item t="default"/>
      </items>
    </pivotField>
    <pivotField showAll="0"/>
    <pivotField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defaultSubtotal="0"/>
    <pivotField showAll="0" defaultSubtotal="0"/>
    <pivotField showAll="0" defaultSubtotal="0">
      <items count="8">
        <item x="0"/>
        <item x="1"/>
        <item x="2"/>
        <item x="3"/>
        <item x="4"/>
        <item x="5"/>
        <item x="6"/>
        <item x="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615A1A-2377-41E0-A397-9A7260D4A06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13:G24" firstHeaderRow="1" firstDataRow="1" firstDataCol="1"/>
  <pivotFields count="21">
    <pivotField showAll="0"/>
    <pivotField showAll="0"/>
    <pivotField showAll="0">
      <items count="4">
        <item x="1"/>
        <item x="0"/>
        <item x="2"/>
        <item t="default"/>
      </items>
    </pivotField>
    <pivotField showAll="0"/>
    <pivotField showAll="0"/>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axis="axisRow" showAll="0" measureFilter="1">
      <items count="201">
        <item x="188"/>
        <item x="187"/>
        <item x="172"/>
        <item x="189"/>
        <item x="114"/>
        <item x="164"/>
        <item x="148"/>
        <item x="38"/>
        <item x="42"/>
        <item x="132"/>
        <item x="141"/>
        <item x="63"/>
        <item x="43"/>
        <item x="56"/>
        <item x="86"/>
        <item x="198"/>
        <item x="134"/>
        <item x="79"/>
        <item x="23"/>
        <item x="151"/>
        <item x="179"/>
        <item x="139"/>
        <item x="51"/>
        <item x="26"/>
        <item x="160"/>
        <item x="67"/>
        <item x="124"/>
        <item x="176"/>
        <item x="16"/>
        <item x="68"/>
        <item x="82"/>
        <item x="22"/>
        <item x="120"/>
        <item x="15"/>
        <item x="2"/>
        <item x="118"/>
        <item x="109"/>
        <item x="31"/>
        <item x="91"/>
        <item x="52"/>
        <item x="159"/>
        <item x="128"/>
        <item x="37"/>
        <item x="107"/>
        <item x="72"/>
        <item x="50"/>
        <item x="192"/>
        <item x="113"/>
        <item x="28"/>
        <item x="25"/>
        <item x="44"/>
        <item x="162"/>
        <item x="138"/>
        <item x="45"/>
        <item x="55"/>
        <item x="32"/>
        <item x="87"/>
        <item x="6"/>
        <item x="103"/>
        <item x="175"/>
        <item x="197"/>
        <item x="115"/>
        <item x="29"/>
        <item x="126"/>
        <item x="111"/>
        <item x="57"/>
        <item x="19"/>
        <item x="145"/>
        <item x="166"/>
        <item x="30"/>
        <item x="169"/>
        <item x="97"/>
        <item x="3"/>
        <item x="100"/>
        <item x="183"/>
        <item x="133"/>
        <item x="18"/>
        <item x="78"/>
        <item x="116"/>
        <item x="59"/>
        <item x="90"/>
        <item x="184"/>
        <item x="81"/>
        <item x="69"/>
        <item x="142"/>
        <item x="95"/>
        <item x="165"/>
        <item x="119"/>
        <item x="121"/>
        <item x="170"/>
        <item x="20"/>
        <item x="137"/>
        <item x="77"/>
        <item x="129"/>
        <item x="84"/>
        <item x="96"/>
        <item x="64"/>
        <item x="1"/>
        <item x="122"/>
        <item x="48"/>
        <item x="117"/>
        <item x="140"/>
        <item x="130"/>
        <item x="76"/>
        <item x="88"/>
        <item x="180"/>
        <item x="85"/>
        <item x="181"/>
        <item x="36"/>
        <item x="49"/>
        <item x="33"/>
        <item x="144"/>
        <item x="46"/>
        <item x="194"/>
        <item x="105"/>
        <item x="174"/>
        <item x="89"/>
        <item x="99"/>
        <item x="11"/>
        <item x="167"/>
        <item x="195"/>
        <item x="41"/>
        <item x="127"/>
        <item x="71"/>
        <item x="60"/>
        <item x="54"/>
        <item x="196"/>
        <item x="161"/>
        <item x="14"/>
        <item x="62"/>
        <item x="147"/>
        <item x="53"/>
        <item x="47"/>
        <item x="104"/>
        <item x="5"/>
        <item x="9"/>
        <item x="98"/>
        <item x="143"/>
        <item x="83"/>
        <item x="150"/>
        <item x="106"/>
        <item x="123"/>
        <item x="40"/>
        <item x="34"/>
        <item x="7"/>
        <item x="94"/>
        <item x="12"/>
        <item x="112"/>
        <item x="101"/>
        <item x="66"/>
        <item x="13"/>
        <item x="154"/>
        <item x="152"/>
        <item x="131"/>
        <item x="191"/>
        <item x="177"/>
        <item x="136"/>
        <item x="10"/>
        <item x="61"/>
        <item x="27"/>
        <item x="80"/>
        <item x="75"/>
        <item x="157"/>
        <item x="35"/>
        <item x="135"/>
        <item x="190"/>
        <item x="0"/>
        <item x="73"/>
        <item x="149"/>
        <item x="74"/>
        <item x="93"/>
        <item x="158"/>
        <item x="8"/>
        <item x="65"/>
        <item x="171"/>
        <item x="110"/>
        <item x="182"/>
        <item x="108"/>
        <item x="178"/>
        <item x="58"/>
        <item x="153"/>
        <item x="146"/>
        <item x="102"/>
        <item x="17"/>
        <item x="173"/>
        <item x="70"/>
        <item x="186"/>
        <item x="163"/>
        <item x="156"/>
        <item x="92"/>
        <item x="39"/>
        <item x="193"/>
        <item x="4"/>
        <item x="185"/>
        <item x="21"/>
        <item x="24"/>
        <item x="155"/>
        <item x="125"/>
        <item x="168"/>
        <item x="199"/>
        <item t="default"/>
      </items>
    </pivotField>
    <pivotField showAll="0"/>
    <pivotField dataField="1"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11">
    <i>
      <x v="7"/>
    </i>
    <i>
      <x v="10"/>
    </i>
    <i>
      <x v="25"/>
    </i>
    <i>
      <x v="26"/>
    </i>
    <i>
      <x v="51"/>
    </i>
    <i>
      <x v="86"/>
    </i>
    <i>
      <x v="129"/>
    </i>
    <i>
      <x v="141"/>
    </i>
    <i>
      <x v="142"/>
    </i>
    <i>
      <x v="172"/>
    </i>
    <i t="grand">
      <x/>
    </i>
  </rowItems>
  <colItems count="1">
    <i/>
  </colItems>
  <dataFields count="1">
    <dataField name="Sum of Billing Amount" fld="9"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65527E-0435-4AF0-A05F-868EAE4F51E8}"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W216:AE218" firstHeaderRow="1" firstDataRow="2" firstDataCol="1"/>
  <pivotFields count="21">
    <pivotField dataField="1" showAll="0"/>
    <pivotField showAll="0"/>
    <pivotField showAll="0">
      <items count="4">
        <item x="1"/>
        <item x="0"/>
        <item x="2"/>
        <item t="default"/>
      </items>
    </pivotField>
    <pivotField showAll="0"/>
    <pivotField showAll="0"/>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showAll="0"/>
    <pivotField showAll="0"/>
    <pivotField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defaultSubtotal="0"/>
    <pivotField showAll="0" defaultSubtotal="0"/>
    <pivotField showAll="0" defaultSubtotal="0">
      <items count="8">
        <item x="0"/>
        <item x="1"/>
        <item x="2"/>
        <item x="3"/>
        <item x="4"/>
        <item x="5"/>
        <item x="6"/>
        <item x="7"/>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9">
        <item sd="0" x="0"/>
        <item sd="0" x="1"/>
        <item sd="0" x="2"/>
        <item sd="0" x="3"/>
        <item sd="0" x="4"/>
        <item sd="0" x="5"/>
        <item sd="0" x="6"/>
        <item sd="0" x="7"/>
        <item t="default"/>
      </items>
    </pivotField>
  </pivotFields>
  <rowItems count="1">
    <i/>
  </rowItems>
  <colFields count="1">
    <field x="20"/>
  </colFields>
  <colItems count="8">
    <i>
      <x/>
    </i>
    <i>
      <x v="1"/>
    </i>
    <i>
      <x v="2"/>
    </i>
    <i>
      <x v="3"/>
    </i>
    <i>
      <x v="4"/>
    </i>
    <i>
      <x v="5"/>
    </i>
    <i>
      <x v="6"/>
    </i>
    <i t="grand">
      <x/>
    </i>
  </colItems>
  <dataFields count="1">
    <dataField name="Count of Name" fld="0" subtotal="count" baseField="0" baseItem="0"/>
  </dataFields>
  <chartFormats count="22">
    <chartFormat chart="13" format="0" series="1">
      <pivotArea type="data" outline="0" fieldPosition="0">
        <references count="2">
          <reference field="4294967294" count="1" selected="0">
            <x v="0"/>
          </reference>
          <reference field="20" count="1" selected="0">
            <x v="0"/>
          </reference>
        </references>
      </pivotArea>
    </chartFormat>
    <chartFormat chart="13" format="1" series="1">
      <pivotArea type="data" outline="0" fieldPosition="0">
        <references count="2">
          <reference field="4294967294" count="1" selected="0">
            <x v="0"/>
          </reference>
          <reference field="20" count="1" selected="0">
            <x v="1"/>
          </reference>
        </references>
      </pivotArea>
    </chartFormat>
    <chartFormat chart="13" format="2" series="1">
      <pivotArea type="data" outline="0" fieldPosition="0">
        <references count="2">
          <reference field="4294967294" count="1" selected="0">
            <x v="0"/>
          </reference>
          <reference field="20" count="1" selected="0">
            <x v="2"/>
          </reference>
        </references>
      </pivotArea>
    </chartFormat>
    <chartFormat chart="13" format="3" series="1">
      <pivotArea type="data" outline="0" fieldPosition="0">
        <references count="2">
          <reference field="4294967294" count="1" selected="0">
            <x v="0"/>
          </reference>
          <reference field="20" count="1" selected="0">
            <x v="3"/>
          </reference>
        </references>
      </pivotArea>
    </chartFormat>
    <chartFormat chart="13" format="4" series="1">
      <pivotArea type="data" outline="0" fieldPosition="0">
        <references count="2">
          <reference field="4294967294" count="1" selected="0">
            <x v="0"/>
          </reference>
          <reference field="20" count="1" selected="0">
            <x v="4"/>
          </reference>
        </references>
      </pivotArea>
    </chartFormat>
    <chartFormat chart="13" format="5" series="1">
      <pivotArea type="data" outline="0" fieldPosition="0">
        <references count="2">
          <reference field="4294967294" count="1" selected="0">
            <x v="0"/>
          </reference>
          <reference field="20" count="1" selected="0">
            <x v="5"/>
          </reference>
        </references>
      </pivotArea>
    </chartFormat>
    <chartFormat chart="13" format="6" series="1">
      <pivotArea type="data" outline="0" fieldPosition="0">
        <references count="2">
          <reference field="4294967294" count="1" selected="0">
            <x v="0"/>
          </reference>
          <reference field="20" count="1" selected="0">
            <x v="6"/>
          </reference>
        </references>
      </pivotArea>
    </chartFormat>
    <chartFormat chart="15" format="7" series="1">
      <pivotArea type="data" outline="0" fieldPosition="0">
        <references count="2">
          <reference field="4294967294" count="1" selected="0">
            <x v="0"/>
          </reference>
          <reference field="20" count="1" selected="0">
            <x v="0"/>
          </reference>
        </references>
      </pivotArea>
    </chartFormat>
    <chartFormat chart="15" format="8" series="1">
      <pivotArea type="data" outline="0" fieldPosition="0">
        <references count="2">
          <reference field="4294967294" count="1" selected="0">
            <x v="0"/>
          </reference>
          <reference field="20" count="1" selected="0">
            <x v="1"/>
          </reference>
        </references>
      </pivotArea>
    </chartFormat>
    <chartFormat chart="15" format="9" series="1">
      <pivotArea type="data" outline="0" fieldPosition="0">
        <references count="2">
          <reference field="4294967294" count="1" selected="0">
            <x v="0"/>
          </reference>
          <reference field="20" count="1" selected="0">
            <x v="2"/>
          </reference>
        </references>
      </pivotArea>
    </chartFormat>
    <chartFormat chart="15" format="10" series="1">
      <pivotArea type="data" outline="0" fieldPosition="0">
        <references count="2">
          <reference field="4294967294" count="1" selected="0">
            <x v="0"/>
          </reference>
          <reference field="20" count="1" selected="0">
            <x v="3"/>
          </reference>
        </references>
      </pivotArea>
    </chartFormat>
    <chartFormat chart="15" format="11" series="1">
      <pivotArea type="data" outline="0" fieldPosition="0">
        <references count="2">
          <reference field="4294967294" count="1" selected="0">
            <x v="0"/>
          </reference>
          <reference field="20" count="1" selected="0">
            <x v="4"/>
          </reference>
        </references>
      </pivotArea>
    </chartFormat>
    <chartFormat chart="15" format="12" series="1">
      <pivotArea type="data" outline="0" fieldPosition="0">
        <references count="2">
          <reference field="4294967294" count="1" selected="0">
            <x v="0"/>
          </reference>
          <reference field="20" count="1" selected="0">
            <x v="5"/>
          </reference>
        </references>
      </pivotArea>
    </chartFormat>
    <chartFormat chart="15" format="13" series="1">
      <pivotArea type="data" outline="0" fieldPosition="0">
        <references count="2">
          <reference field="4294967294" count="1" selected="0">
            <x v="0"/>
          </reference>
          <reference field="20" count="1" selected="0">
            <x v="6"/>
          </reference>
        </references>
      </pivotArea>
    </chartFormat>
    <chartFormat chart="16" format="14" series="1">
      <pivotArea type="data" outline="0" fieldPosition="0">
        <references count="2">
          <reference field="4294967294" count="1" selected="0">
            <x v="0"/>
          </reference>
          <reference field="20" count="1" selected="0">
            <x v="0"/>
          </reference>
        </references>
      </pivotArea>
    </chartFormat>
    <chartFormat chart="16" format="15" series="1">
      <pivotArea type="data" outline="0" fieldPosition="0">
        <references count="2">
          <reference field="4294967294" count="1" selected="0">
            <x v="0"/>
          </reference>
          <reference field="20" count="1" selected="0">
            <x v="1"/>
          </reference>
        </references>
      </pivotArea>
    </chartFormat>
    <chartFormat chart="16" format="16" series="1">
      <pivotArea type="data" outline="0" fieldPosition="0">
        <references count="2">
          <reference field="4294967294" count="1" selected="0">
            <x v="0"/>
          </reference>
          <reference field="20" count="1" selected="0">
            <x v="2"/>
          </reference>
        </references>
      </pivotArea>
    </chartFormat>
    <chartFormat chart="16" format="17" series="1">
      <pivotArea type="data" outline="0" fieldPosition="0">
        <references count="2">
          <reference field="4294967294" count="1" selected="0">
            <x v="0"/>
          </reference>
          <reference field="20" count="1" selected="0">
            <x v="3"/>
          </reference>
        </references>
      </pivotArea>
    </chartFormat>
    <chartFormat chart="16" format="18" series="1">
      <pivotArea type="data" outline="0" fieldPosition="0">
        <references count="2">
          <reference field="4294967294" count="1" selected="0">
            <x v="0"/>
          </reference>
          <reference field="20" count="1" selected="0">
            <x v="4"/>
          </reference>
        </references>
      </pivotArea>
    </chartFormat>
    <chartFormat chart="16" format="19" series="1">
      <pivotArea type="data" outline="0" fieldPosition="0">
        <references count="2">
          <reference field="4294967294" count="1" selected="0">
            <x v="0"/>
          </reference>
          <reference field="20" count="1" selected="0">
            <x v="5"/>
          </reference>
        </references>
      </pivotArea>
    </chartFormat>
    <chartFormat chart="16" format="20" series="1">
      <pivotArea type="data" outline="0" fieldPosition="0">
        <references count="2">
          <reference field="4294967294" count="1" selected="0">
            <x v="0"/>
          </reference>
          <reference field="20" count="1" selected="0">
            <x v="6"/>
          </reference>
        </references>
      </pivotArea>
    </chartFormat>
    <chartFormat chart="16"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B87E70-D441-46F0-9A42-E1BC5A32723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3:C30" firstHeaderRow="1" firstDataRow="1" firstDataCol="1"/>
  <pivotFields count="21">
    <pivotField dataField="1" showAll="0"/>
    <pivotField showAll="0"/>
    <pivotField showAll="0">
      <items count="4">
        <item x="1"/>
        <item x="0"/>
        <item x="2"/>
        <item t="default"/>
      </items>
    </pivotField>
    <pivotField showAll="0"/>
    <pivotField axis="axisRow" showAll="0">
      <items count="8">
        <item x="5"/>
        <item x="3"/>
        <item x="0"/>
        <item x="2"/>
        <item x="4"/>
        <item x="1"/>
        <item h="1" x="6"/>
        <item t="default"/>
      </items>
    </pivotField>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showAll="0"/>
    <pivotField showAll="0"/>
    <pivotField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i>
    <i>
      <x v="1"/>
    </i>
    <i>
      <x v="2"/>
    </i>
    <i>
      <x v="3"/>
    </i>
    <i>
      <x v="4"/>
    </i>
    <i>
      <x v="5"/>
    </i>
    <i t="grand">
      <x/>
    </i>
  </rowItems>
  <colItems count="1">
    <i/>
  </colItems>
  <dataFields count="1">
    <dataField name="Count of Name"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9486F1-E053-40CC-98B2-CD99E3E5BEC5}"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7:N39" firstHeaderRow="1" firstDataRow="2" firstDataCol="1"/>
  <pivotFields count="21">
    <pivotField dataField="1" showAll="0"/>
    <pivotField showAll="0"/>
    <pivotField showAll="0">
      <items count="4">
        <item x="1"/>
        <item x="0"/>
        <item x="2"/>
        <item t="default"/>
      </items>
    </pivotField>
    <pivotField showAll="0"/>
    <pivotField showAll="0"/>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showAll="0"/>
    <pivotField showAll="0"/>
    <pivotField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9">
        <item h="1" sd="0" x="0"/>
        <item sd="0" x="1"/>
        <item sd="0" x="2"/>
        <item sd="0" x="3"/>
        <item sd="0" x="4"/>
        <item sd="0" x="5"/>
        <item sd="0" x="6"/>
        <item h="1" sd="0"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17"/>
  </colFields>
  <colItems count="7">
    <i>
      <x v="1"/>
    </i>
    <i>
      <x v="2"/>
    </i>
    <i>
      <x v="3"/>
    </i>
    <i>
      <x v="4"/>
    </i>
    <i>
      <x v="5"/>
    </i>
    <i>
      <x v="6"/>
    </i>
    <i t="grand">
      <x/>
    </i>
  </colItems>
  <dataFields count="1">
    <dataField name="Count of Name" fld="0" subtotal="count" baseField="0" baseItem="0"/>
  </dataFields>
  <chartFormats count="8">
    <chartFormat chart="5" format="14" series="1">
      <pivotArea type="data" outline="0" fieldPosition="0">
        <references count="2">
          <reference field="4294967294" count="1" selected="0">
            <x v="0"/>
          </reference>
          <reference field="17" count="1" selected="0">
            <x v="0"/>
          </reference>
        </references>
      </pivotArea>
    </chartFormat>
    <chartFormat chart="5" format="15" series="1">
      <pivotArea type="data" outline="0" fieldPosition="0">
        <references count="2">
          <reference field="4294967294" count="1" selected="0">
            <x v="0"/>
          </reference>
          <reference field="17" count="1" selected="0">
            <x v="1"/>
          </reference>
        </references>
      </pivotArea>
    </chartFormat>
    <chartFormat chart="5" format="16" series="1">
      <pivotArea type="data" outline="0" fieldPosition="0">
        <references count="2">
          <reference field="4294967294" count="1" selected="0">
            <x v="0"/>
          </reference>
          <reference field="17" count="1" selected="0">
            <x v="2"/>
          </reference>
        </references>
      </pivotArea>
    </chartFormat>
    <chartFormat chart="5" format="17" series="1">
      <pivotArea type="data" outline="0" fieldPosition="0">
        <references count="2">
          <reference field="4294967294" count="1" selected="0">
            <x v="0"/>
          </reference>
          <reference field="17" count="1" selected="0">
            <x v="3"/>
          </reference>
        </references>
      </pivotArea>
    </chartFormat>
    <chartFormat chart="5" format="18" series="1">
      <pivotArea type="data" outline="0" fieldPosition="0">
        <references count="2">
          <reference field="4294967294" count="1" selected="0">
            <x v="0"/>
          </reference>
          <reference field="17" count="1" selected="0">
            <x v="4"/>
          </reference>
        </references>
      </pivotArea>
    </chartFormat>
    <chartFormat chart="5" format="19" series="1">
      <pivotArea type="data" outline="0" fieldPosition="0">
        <references count="2">
          <reference field="4294967294" count="1" selected="0">
            <x v="0"/>
          </reference>
          <reference field="17" count="1" selected="0">
            <x v="5"/>
          </reference>
        </references>
      </pivotArea>
    </chartFormat>
    <chartFormat chart="5" format="20" series="1">
      <pivotArea type="data" outline="0" fieldPosition="0">
        <references count="2">
          <reference field="4294967294" count="1" selected="0">
            <x v="0"/>
          </reference>
          <reference field="17" count="1" selected="0">
            <x v="6"/>
          </reference>
        </references>
      </pivotArea>
    </chartFormat>
    <chartFormat chart="5"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315C4D-9FF6-4D7E-8C1C-9D11C27D6F46}"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19:P28" firstHeaderRow="1" firstDataRow="1" firstDataCol="1"/>
  <pivotFields count="21">
    <pivotField dataField="1" showAll="0"/>
    <pivotField showAll="0"/>
    <pivotField showAll="0">
      <items count="4">
        <item x="1"/>
        <item x="0"/>
        <item x="2"/>
        <item t="default"/>
      </items>
    </pivotField>
    <pivotField axis="axisRow" showAll="0">
      <items count="10">
        <item x="2"/>
        <item x="1"/>
        <item x="5"/>
        <item x="4"/>
        <item x="0"/>
        <item x="6"/>
        <item x="7"/>
        <item x="3"/>
        <item h="1" x="8"/>
        <item t="default"/>
      </items>
    </pivotField>
    <pivotField showAll="0"/>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showAll="0"/>
    <pivotField showAll="0"/>
    <pivotField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9">
    <i>
      <x/>
    </i>
    <i>
      <x v="1"/>
    </i>
    <i>
      <x v="2"/>
    </i>
    <i>
      <x v="3"/>
    </i>
    <i>
      <x v="4"/>
    </i>
    <i>
      <x v="5"/>
    </i>
    <i>
      <x v="6"/>
    </i>
    <i>
      <x v="7"/>
    </i>
    <i t="grand">
      <x/>
    </i>
  </rowItems>
  <colItems count="1">
    <i/>
  </colItems>
  <dataFields count="1">
    <dataField name="Count of Name" fld="0" subtotal="count" baseField="0" baseItem="0"/>
  </dataFields>
  <chartFormats count="10">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3" count="1" selected="0">
            <x v="0"/>
          </reference>
        </references>
      </pivotArea>
    </chartFormat>
    <chartFormat chart="9" format="13">
      <pivotArea type="data" outline="0" fieldPosition="0">
        <references count="2">
          <reference field="4294967294" count="1" selected="0">
            <x v="0"/>
          </reference>
          <reference field="3" count="1" selected="0">
            <x v="1"/>
          </reference>
        </references>
      </pivotArea>
    </chartFormat>
    <chartFormat chart="9" format="14">
      <pivotArea type="data" outline="0" fieldPosition="0">
        <references count="2">
          <reference field="4294967294" count="1" selected="0">
            <x v="0"/>
          </reference>
          <reference field="3" count="1" selected="0">
            <x v="2"/>
          </reference>
        </references>
      </pivotArea>
    </chartFormat>
    <chartFormat chart="9" format="15">
      <pivotArea type="data" outline="0" fieldPosition="0">
        <references count="2">
          <reference field="4294967294" count="1" selected="0">
            <x v="0"/>
          </reference>
          <reference field="3" count="1" selected="0">
            <x v="3"/>
          </reference>
        </references>
      </pivotArea>
    </chartFormat>
    <chartFormat chart="9" format="16">
      <pivotArea type="data" outline="0" fieldPosition="0">
        <references count="2">
          <reference field="4294967294" count="1" selected="0">
            <x v="0"/>
          </reference>
          <reference field="3" count="1" selected="0">
            <x v="4"/>
          </reference>
        </references>
      </pivotArea>
    </chartFormat>
    <chartFormat chart="9" format="17">
      <pivotArea type="data" outline="0" fieldPosition="0">
        <references count="2">
          <reference field="4294967294" count="1" selected="0">
            <x v="0"/>
          </reference>
          <reference field="3" count="1" selected="0">
            <x v="5"/>
          </reference>
        </references>
      </pivotArea>
    </chartFormat>
    <chartFormat chart="9" format="18">
      <pivotArea type="data" outline="0" fieldPosition="0">
        <references count="2">
          <reference field="4294967294" count="1" selected="0">
            <x v="0"/>
          </reference>
          <reference field="3" count="1" selected="0">
            <x v="6"/>
          </reference>
        </references>
      </pivotArea>
    </chartFormat>
    <chartFormat chart="9" format="19">
      <pivotArea type="data" outline="0" fieldPosition="0">
        <references count="2">
          <reference field="4294967294" count="1" selected="0">
            <x v="0"/>
          </reference>
          <reference field="3" count="1" selected="0">
            <x v="7"/>
          </reference>
        </references>
      </pivotArea>
    </chartFormat>
    <chartFormat chart="9" format="2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4A743E-DA8C-4399-BD58-E9AC15F89204}"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31:S37" firstHeaderRow="1" firstDataRow="1" firstDataCol="1"/>
  <pivotFields count="21">
    <pivotField showAll="0"/>
    <pivotField showAll="0"/>
    <pivotField showAll="0">
      <items count="4">
        <item x="1"/>
        <item x="0"/>
        <item x="2"/>
        <item t="default"/>
      </items>
    </pivotField>
    <pivotField showAll="0"/>
    <pivotField showAll="0"/>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showAll="0" measureFilter="1">
      <items count="201">
        <item x="188"/>
        <item x="187"/>
        <item x="172"/>
        <item x="189"/>
        <item x="114"/>
        <item x="164"/>
        <item x="148"/>
        <item x="38"/>
        <item x="42"/>
        <item x="132"/>
        <item x="141"/>
        <item x="63"/>
        <item x="43"/>
        <item x="56"/>
        <item x="86"/>
        <item x="198"/>
        <item x="134"/>
        <item x="79"/>
        <item x="23"/>
        <item x="151"/>
        <item x="179"/>
        <item x="139"/>
        <item x="51"/>
        <item x="26"/>
        <item x="160"/>
        <item x="67"/>
        <item x="124"/>
        <item x="176"/>
        <item x="16"/>
        <item x="68"/>
        <item x="82"/>
        <item x="22"/>
        <item x="120"/>
        <item x="15"/>
        <item x="2"/>
        <item x="118"/>
        <item x="109"/>
        <item x="31"/>
        <item x="91"/>
        <item x="52"/>
        <item x="159"/>
        <item x="128"/>
        <item x="37"/>
        <item x="107"/>
        <item x="72"/>
        <item x="50"/>
        <item x="192"/>
        <item x="113"/>
        <item x="28"/>
        <item x="25"/>
        <item x="44"/>
        <item x="162"/>
        <item x="138"/>
        <item x="45"/>
        <item x="55"/>
        <item x="32"/>
        <item x="87"/>
        <item x="6"/>
        <item x="103"/>
        <item x="175"/>
        <item x="197"/>
        <item x="115"/>
        <item x="29"/>
        <item x="126"/>
        <item x="111"/>
        <item x="57"/>
        <item x="19"/>
        <item x="145"/>
        <item x="166"/>
        <item x="30"/>
        <item x="169"/>
        <item x="97"/>
        <item x="3"/>
        <item x="100"/>
        <item x="183"/>
        <item x="133"/>
        <item x="18"/>
        <item x="78"/>
        <item x="116"/>
        <item x="59"/>
        <item x="90"/>
        <item x="184"/>
        <item x="81"/>
        <item x="69"/>
        <item x="142"/>
        <item x="95"/>
        <item x="165"/>
        <item x="119"/>
        <item x="121"/>
        <item x="170"/>
        <item x="20"/>
        <item x="137"/>
        <item x="77"/>
        <item x="129"/>
        <item x="84"/>
        <item x="96"/>
        <item x="64"/>
        <item x="1"/>
        <item x="122"/>
        <item x="48"/>
        <item x="117"/>
        <item x="140"/>
        <item x="130"/>
        <item x="76"/>
        <item x="88"/>
        <item x="180"/>
        <item x="85"/>
        <item x="181"/>
        <item x="36"/>
        <item x="49"/>
        <item x="33"/>
        <item x="144"/>
        <item x="46"/>
        <item x="194"/>
        <item x="105"/>
        <item x="174"/>
        <item x="89"/>
        <item x="99"/>
        <item x="11"/>
        <item x="167"/>
        <item x="195"/>
        <item x="41"/>
        <item x="127"/>
        <item x="71"/>
        <item x="60"/>
        <item x="54"/>
        <item x="196"/>
        <item x="161"/>
        <item x="14"/>
        <item x="62"/>
        <item x="147"/>
        <item x="53"/>
        <item x="47"/>
        <item x="104"/>
        <item x="5"/>
        <item x="9"/>
        <item x="98"/>
        <item x="143"/>
        <item x="83"/>
        <item x="150"/>
        <item x="106"/>
        <item x="123"/>
        <item x="40"/>
        <item x="34"/>
        <item x="7"/>
        <item x="94"/>
        <item x="12"/>
        <item x="112"/>
        <item x="101"/>
        <item x="66"/>
        <item x="13"/>
        <item x="154"/>
        <item x="152"/>
        <item x="131"/>
        <item x="191"/>
        <item x="177"/>
        <item x="136"/>
        <item x="10"/>
        <item x="61"/>
        <item x="27"/>
        <item x="80"/>
        <item x="75"/>
        <item x="157"/>
        <item x="35"/>
        <item x="135"/>
        <item x="190"/>
        <item x="0"/>
        <item x="73"/>
        <item x="149"/>
        <item x="74"/>
        <item x="93"/>
        <item x="158"/>
        <item x="8"/>
        <item x="65"/>
        <item x="171"/>
        <item x="110"/>
        <item x="182"/>
        <item x="108"/>
        <item x="178"/>
        <item x="58"/>
        <item x="153"/>
        <item x="146"/>
        <item x="102"/>
        <item x="17"/>
        <item x="173"/>
        <item x="70"/>
        <item x="186"/>
        <item x="163"/>
        <item x="156"/>
        <item x="92"/>
        <item x="39"/>
        <item x="193"/>
        <item x="4"/>
        <item x="185"/>
        <item x="21"/>
        <item x="24"/>
        <item x="155"/>
        <item x="125"/>
        <item x="168"/>
        <item x="199"/>
        <item t="default"/>
      </items>
    </pivotField>
    <pivotField axis="axisRow" showAll="0">
      <items count="7">
        <item x="2"/>
        <item x="0"/>
        <item x="4"/>
        <item x="1"/>
        <item x="3"/>
        <item h="1" x="5"/>
        <item t="default"/>
      </items>
    </pivotField>
    <pivotField dataField="1"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defaultSubtotal="0"/>
    <pivotField showAll="0" defaultSubtotal="0"/>
    <pivotField showAll="0" defaultSubtotal="0">
      <items count="8">
        <item x="0"/>
        <item x="1"/>
        <item x="2"/>
        <item x="3"/>
        <item x="4"/>
        <item x="5"/>
        <item x="6"/>
        <item x="7"/>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6">
    <i>
      <x/>
    </i>
    <i>
      <x v="1"/>
    </i>
    <i>
      <x v="2"/>
    </i>
    <i>
      <x v="3"/>
    </i>
    <i>
      <x v="4"/>
    </i>
    <i t="grand">
      <x/>
    </i>
  </rowItems>
  <colItems count="1">
    <i/>
  </colItems>
  <dataFields count="1">
    <dataField name="Sum of Billing Amount" fld="9"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6DABEB-5D8A-4B6C-A84F-4A6694C1C02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1">
    <pivotField dataField="1" showAll="0"/>
    <pivotField showAll="0"/>
    <pivotField axis="axisRow" showAll="0">
      <items count="4">
        <item x="1"/>
        <item x="0"/>
        <item x="2"/>
        <item t="default"/>
      </items>
    </pivotField>
    <pivotField showAll="0"/>
    <pivotField showAll="0"/>
    <pivotField showAll="0">
      <items count="190">
        <item x="166"/>
        <item x="109"/>
        <item x="50"/>
        <item x="101"/>
        <item x="48"/>
        <item x="140"/>
        <item x="29"/>
        <item x="94"/>
        <item x="1"/>
        <item x="121"/>
        <item x="176"/>
        <item x="104"/>
        <item x="125"/>
        <item x="35"/>
        <item x="30"/>
        <item x="127"/>
        <item x="59"/>
        <item x="163"/>
        <item x="65"/>
        <item x="111"/>
        <item x="64"/>
        <item x="12"/>
        <item x="168"/>
        <item x="33"/>
        <item x="21"/>
        <item x="133"/>
        <item x="40"/>
        <item x="68"/>
        <item x="156"/>
        <item x="153"/>
        <item x="126"/>
        <item x="131"/>
        <item x="17"/>
        <item x="10"/>
        <item x="46"/>
        <item x="63"/>
        <item x="24"/>
        <item x="13"/>
        <item x="82"/>
        <item x="117"/>
        <item x="139"/>
        <item x="16"/>
        <item x="8"/>
        <item x="58"/>
        <item x="137"/>
        <item x="112"/>
        <item x="43"/>
        <item x="80"/>
        <item x="144"/>
        <item x="85"/>
        <item x="150"/>
        <item x="161"/>
        <item x="120"/>
        <item x="118"/>
        <item x="6"/>
        <item x="3"/>
        <item x="164"/>
        <item x="79"/>
        <item x="174"/>
        <item x="177"/>
        <item x="170"/>
        <item x="27"/>
        <item x="34"/>
        <item x="38"/>
        <item x="57"/>
        <item x="76"/>
        <item x="157"/>
        <item x="128"/>
        <item x="113"/>
        <item x="18"/>
        <item x="105"/>
        <item x="93"/>
        <item x="142"/>
        <item x="102"/>
        <item x="9"/>
        <item x="145"/>
        <item x="119"/>
        <item x="42"/>
        <item x="148"/>
        <item x="116"/>
        <item x="154"/>
        <item x="179"/>
        <item x="134"/>
        <item x="132"/>
        <item x="23"/>
        <item x="167"/>
        <item x="151"/>
        <item x="91"/>
        <item x="39"/>
        <item x="72"/>
        <item x="14"/>
        <item x="186"/>
        <item x="129"/>
        <item x="143"/>
        <item x="175"/>
        <item x="74"/>
        <item x="110"/>
        <item x="77"/>
        <item x="122"/>
        <item x="45"/>
        <item x="187"/>
        <item x="36"/>
        <item x="159"/>
        <item x="115"/>
        <item x="7"/>
        <item x="70"/>
        <item x="184"/>
        <item x="183"/>
        <item x="165"/>
        <item x="37"/>
        <item x="138"/>
        <item x="52"/>
        <item x="22"/>
        <item x="107"/>
        <item x="155"/>
        <item x="180"/>
        <item x="89"/>
        <item x="26"/>
        <item x="146"/>
        <item x="41"/>
        <item x="61"/>
        <item x="84"/>
        <item x="99"/>
        <item x="130"/>
        <item x="62"/>
        <item x="88"/>
        <item x="92"/>
        <item x="169"/>
        <item x="97"/>
        <item x="4"/>
        <item x="56"/>
        <item x="2"/>
        <item x="44"/>
        <item x="98"/>
        <item x="69"/>
        <item x="51"/>
        <item x="90"/>
        <item x="19"/>
        <item x="178"/>
        <item x="96"/>
        <item x="15"/>
        <item x="66"/>
        <item x="171"/>
        <item x="55"/>
        <item x="83"/>
        <item x="87"/>
        <item x="147"/>
        <item x="31"/>
        <item x="32"/>
        <item x="106"/>
        <item x="185"/>
        <item x="100"/>
        <item x="20"/>
        <item x="73"/>
        <item x="172"/>
        <item x="11"/>
        <item x="53"/>
        <item x="86"/>
        <item x="108"/>
        <item x="162"/>
        <item x="152"/>
        <item x="160"/>
        <item x="47"/>
        <item x="28"/>
        <item x="75"/>
        <item x="123"/>
        <item x="54"/>
        <item x="81"/>
        <item x="149"/>
        <item x="158"/>
        <item x="173"/>
        <item x="5"/>
        <item x="25"/>
        <item x="71"/>
        <item x="135"/>
        <item x="136"/>
        <item x="114"/>
        <item x="103"/>
        <item x="0"/>
        <item x="67"/>
        <item x="181"/>
        <item x="141"/>
        <item x="78"/>
        <item x="182"/>
        <item x="124"/>
        <item x="95"/>
        <item x="49"/>
        <item x="60"/>
        <item x="188"/>
        <item t="default"/>
      </items>
    </pivotField>
    <pivotField showAll="0"/>
    <pivotField showAll="0"/>
    <pivotField showAll="0"/>
    <pivotField showAll="0"/>
    <pivotField showAll="0"/>
    <pivotField showAll="0"/>
    <pivotField showAll="0">
      <items count="186">
        <item x="164"/>
        <item x="109"/>
        <item x="49"/>
        <item x="47"/>
        <item x="99"/>
        <item x="137"/>
        <item x="1"/>
        <item x="29"/>
        <item x="119"/>
        <item x="173"/>
        <item x="102"/>
        <item x="122"/>
        <item x="35"/>
        <item x="58"/>
        <item x="124"/>
        <item x="30"/>
        <item x="160"/>
        <item x="63"/>
        <item x="111"/>
        <item x="62"/>
        <item x="12"/>
        <item x="166"/>
        <item x="20"/>
        <item x="33"/>
        <item x="66"/>
        <item x="152"/>
        <item x="128"/>
        <item x="123"/>
        <item x="149"/>
        <item x="16"/>
        <item x="10"/>
        <item x="45"/>
        <item x="24"/>
        <item x="169"/>
        <item x="61"/>
        <item x="23"/>
        <item x="80"/>
        <item x="13"/>
        <item x="136"/>
        <item x="8"/>
        <item x="57"/>
        <item x="78"/>
        <item x="133"/>
        <item x="112"/>
        <item x="42"/>
        <item x="141"/>
        <item x="83"/>
        <item x="146"/>
        <item x="153"/>
        <item x="157"/>
        <item x="118"/>
        <item x="6"/>
        <item x="117"/>
        <item x="77"/>
        <item x="161"/>
        <item x="3"/>
        <item x="174"/>
        <item x="167"/>
        <item x="27"/>
        <item x="34"/>
        <item x="38"/>
        <item x="74"/>
        <item x="56"/>
        <item x="125"/>
        <item x="113"/>
        <item x="17"/>
        <item x="103"/>
        <item x="91"/>
        <item x="139"/>
        <item x="100"/>
        <item x="104"/>
        <item x="9"/>
        <item x="41"/>
        <item x="144"/>
        <item x="150"/>
        <item x="158"/>
        <item x="116"/>
        <item x="176"/>
        <item x="22"/>
        <item x="130"/>
        <item x="129"/>
        <item x="165"/>
        <item x="147"/>
        <item x="89"/>
        <item x="39"/>
        <item x="14"/>
        <item x="70"/>
        <item x="183"/>
        <item x="140"/>
        <item x="96"/>
        <item x="126"/>
        <item x="172"/>
        <item x="75"/>
        <item x="72"/>
        <item x="162"/>
        <item x="44"/>
        <item x="110"/>
        <item x="155"/>
        <item x="7"/>
        <item x="115"/>
        <item x="68"/>
        <item x="36"/>
        <item x="181"/>
        <item x="163"/>
        <item x="180"/>
        <item x="37"/>
        <item x="135"/>
        <item x="51"/>
        <item x="106"/>
        <item x="21"/>
        <item x="134"/>
        <item x="151"/>
        <item x="87"/>
        <item x="26"/>
        <item x="177"/>
        <item x="40"/>
        <item x="142"/>
        <item x="82"/>
        <item x="97"/>
        <item x="127"/>
        <item x="60"/>
        <item x="86"/>
        <item x="94"/>
        <item x="55"/>
        <item x="90"/>
        <item x="2"/>
        <item x="4"/>
        <item x="107"/>
        <item x="43"/>
        <item x="67"/>
        <item x="95"/>
        <item x="50"/>
        <item x="18"/>
        <item x="88"/>
        <item x="93"/>
        <item x="175"/>
        <item x="15"/>
        <item x="64"/>
        <item x="54"/>
        <item x="168"/>
        <item x="143"/>
        <item x="85"/>
        <item x="32"/>
        <item x="81"/>
        <item x="31"/>
        <item x="182"/>
        <item x="19"/>
        <item x="105"/>
        <item x="98"/>
        <item x="170"/>
        <item x="71"/>
        <item x="84"/>
        <item x="11"/>
        <item x="148"/>
        <item x="52"/>
        <item x="159"/>
        <item x="108"/>
        <item x="46"/>
        <item x="156"/>
        <item x="28"/>
        <item x="73"/>
        <item x="53"/>
        <item x="120"/>
        <item x="145"/>
        <item x="79"/>
        <item x="154"/>
        <item x="5"/>
        <item x="69"/>
        <item x="171"/>
        <item x="25"/>
        <item x="114"/>
        <item x="0"/>
        <item x="131"/>
        <item x="132"/>
        <item x="101"/>
        <item x="65"/>
        <item x="178"/>
        <item x="138"/>
        <item x="179"/>
        <item x="76"/>
        <item x="121"/>
        <item x="92"/>
        <item x="48"/>
        <item x="59"/>
        <item x="18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4">
    <i>
      <x/>
    </i>
    <i>
      <x v="1"/>
    </i>
    <i>
      <x v="2"/>
    </i>
    <i t="grand">
      <x/>
    </i>
  </rowItems>
  <colItems count="1">
    <i/>
  </colItems>
  <dataFields count="1">
    <dataField name="Count of Name" fld="0" subtotal="count" baseField="0" baseItem="0"/>
  </dataFields>
  <chartFormats count="8">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AC2A1F7-E3F8-4D32-90EB-E96C37A1E070}" sourceName="Gender">
  <pivotTables>
    <pivotTable tabId="4" name="PivotTable2"/>
    <pivotTable tabId="4" name="PivotTable10"/>
    <pivotTable tabId="4" name="PivotTable3"/>
    <pivotTable tabId="4" name="PivotTable4"/>
    <pivotTable tabId="4" name="PivotTable5"/>
    <pivotTable tabId="4" name="PivotTable6"/>
    <pivotTable tabId="4" name="PivotTable7"/>
    <pivotTable tabId="4" name="PivotTable9"/>
    <pivotTable tabId="4" name="PivotTable1"/>
  </pivotTables>
  <data>
    <tabular pivotCacheId="1443895220">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ischarge_Date" xr10:uid="{9DEA6371-63CB-4B0B-94FF-CD7AE7886AAD}" sourceName="Years (Discharge Date)">
  <pivotTables>
    <pivotTable tabId="4" name="PivotTable10"/>
    <pivotTable tabId="4" name="PivotTable1"/>
    <pivotTable tabId="4" name="PivotTable2"/>
    <pivotTable tabId="4" name="PivotTable4"/>
    <pivotTable tabId="4" name="PivotTable5"/>
    <pivotTable tabId="4" name="PivotTable6"/>
    <pivotTable tabId="4" name="PivotTable7"/>
    <pivotTable tabId="4" name="PivotTable9"/>
  </pivotTables>
  <data>
    <tabular pivotCacheId="1443895220">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ischarge Date)" xr10:uid="{B0520CF0-B212-44B5-9425-353772F7416D}" cache="Slicer_Years__Discharge_Date" caption="Years (Discharge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CC36767-DDD2-46DE-AE3E-9B058C0C2C71}" cache="Slicer_Gender" caption="Gender" style="SlicerStyleDark3" rowHeight="241300"/>
  <slicer name="Years (Discharge Date) 1" xr10:uid="{8E373EFF-4802-45E8-873C-BCDB0127D60A}" cache="Slicer_Years__Discharge_Date" caption="Years (Discharge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4F86-BB66-446C-B645-CD8AFAA0C327}">
  <dimension ref="A3:DT218"/>
  <sheetViews>
    <sheetView topLeftCell="S200" workbookViewId="0">
      <selection activeCell="W216" sqref="W216"/>
    </sheetView>
  </sheetViews>
  <sheetFormatPr defaultRowHeight="14.4" x14ac:dyDescent="0.3"/>
  <cols>
    <col min="1" max="2" width="12.5546875" bestFit="1" customWidth="1"/>
    <col min="3" max="3" width="13.88671875" bestFit="1" customWidth="1"/>
    <col min="6" max="6" width="26.77734375" bestFit="1" customWidth="1"/>
    <col min="7" max="7" width="13.88671875" bestFit="1" customWidth="1"/>
    <col min="8" max="8" width="15.5546875" bestFit="1" customWidth="1"/>
    <col min="9" max="13" width="5" bestFit="1" customWidth="1"/>
    <col min="14" max="14" width="10.77734375" bestFit="1" customWidth="1"/>
    <col min="15" max="15" width="12.5546875" bestFit="1" customWidth="1"/>
    <col min="16" max="16" width="13.88671875" bestFit="1" customWidth="1"/>
    <col min="17" max="17" width="15.21875" bestFit="1" customWidth="1"/>
    <col min="18" max="18" width="15.44140625" bestFit="1" customWidth="1"/>
    <col min="19" max="19" width="20" bestFit="1" customWidth="1"/>
    <col min="20" max="22" width="15.21875" bestFit="1" customWidth="1"/>
    <col min="23" max="23" width="26.88671875" bestFit="1" customWidth="1"/>
    <col min="24" max="24" width="13.88671875" bestFit="1" customWidth="1"/>
    <col min="25" max="30" width="5" bestFit="1" customWidth="1"/>
    <col min="31" max="31" width="10.77734375" bestFit="1" customWidth="1"/>
    <col min="32" max="131" width="15.21875" bestFit="1" customWidth="1"/>
    <col min="132" max="132" width="12.5546875" bestFit="1" customWidth="1"/>
    <col min="133" max="133" width="18.77734375" bestFit="1" customWidth="1"/>
    <col min="134" max="134" width="7.44140625" bestFit="1" customWidth="1"/>
    <col min="135" max="135" width="6.77734375" bestFit="1" customWidth="1"/>
    <col min="136" max="136" width="8.21875" bestFit="1" customWidth="1"/>
    <col min="137" max="137" width="12.21875" bestFit="1" customWidth="1"/>
    <col min="138" max="138" width="7.33203125" bestFit="1" customWidth="1"/>
    <col min="139" max="139" width="10.77734375" bestFit="1" customWidth="1"/>
    <col min="140" max="207" width="15.21875" bestFit="1" customWidth="1"/>
    <col min="208" max="208" width="10.77734375" bestFit="1" customWidth="1"/>
  </cols>
  <sheetData>
    <row r="3" spans="1:124" x14ac:dyDescent="0.3">
      <c r="A3" s="2" t="s">
        <v>644</v>
      </c>
      <c r="B3" t="s">
        <v>646</v>
      </c>
      <c r="I3" s="2" t="s">
        <v>644</v>
      </c>
      <c r="J3" t="s">
        <v>657</v>
      </c>
    </row>
    <row r="4" spans="1:124" x14ac:dyDescent="0.3">
      <c r="A4" s="3" t="s">
        <v>35</v>
      </c>
      <c r="B4" s="4">
        <v>102</v>
      </c>
      <c r="I4" s="3" t="s">
        <v>40</v>
      </c>
      <c r="J4" s="4">
        <v>34</v>
      </c>
    </row>
    <row r="5" spans="1:124" x14ac:dyDescent="0.3">
      <c r="A5" s="3" t="s">
        <v>16</v>
      </c>
      <c r="B5" s="4">
        <v>97</v>
      </c>
      <c r="I5" s="3" t="s">
        <v>32</v>
      </c>
      <c r="J5" s="4">
        <v>49</v>
      </c>
    </row>
    <row r="6" spans="1:124" x14ac:dyDescent="0.3">
      <c r="A6" s="3" t="s">
        <v>655</v>
      </c>
      <c r="B6" s="4"/>
      <c r="I6" s="3" t="s">
        <v>79</v>
      </c>
      <c r="J6" s="4">
        <v>34</v>
      </c>
    </row>
    <row r="7" spans="1:124" x14ac:dyDescent="0.3">
      <c r="A7" s="3" t="s">
        <v>645</v>
      </c>
      <c r="B7" s="4">
        <v>199</v>
      </c>
      <c r="I7" s="3" t="s">
        <v>23</v>
      </c>
      <c r="J7" s="4">
        <v>40</v>
      </c>
    </row>
    <row r="8" spans="1:124" x14ac:dyDescent="0.3">
      <c r="I8" s="3" t="s">
        <v>52</v>
      </c>
      <c r="J8" s="4">
        <v>42</v>
      </c>
      <c r="W8" s="2" t="s">
        <v>644</v>
      </c>
      <c r="X8" t="s">
        <v>646</v>
      </c>
    </row>
    <row r="9" spans="1:124" x14ac:dyDescent="0.3">
      <c r="I9" s="3" t="s">
        <v>645</v>
      </c>
      <c r="J9" s="4">
        <v>199</v>
      </c>
      <c r="W9" s="3" t="s">
        <v>613</v>
      </c>
      <c r="X9" s="4">
        <v>1</v>
      </c>
    </row>
    <row r="10" spans="1:124" x14ac:dyDescent="0.3">
      <c r="W10" s="3" t="s">
        <v>610</v>
      </c>
      <c r="X10" s="4">
        <v>1</v>
      </c>
      <c r="DR10" s="5"/>
      <c r="DS10" s="6"/>
      <c r="DT10" s="7"/>
    </row>
    <row r="11" spans="1:124" x14ac:dyDescent="0.3">
      <c r="W11" s="3" t="s">
        <v>565</v>
      </c>
      <c r="X11" s="4">
        <v>1</v>
      </c>
      <c r="DR11" s="8"/>
      <c r="DS11" s="9"/>
      <c r="DT11" s="10"/>
    </row>
    <row r="12" spans="1:124" x14ac:dyDescent="0.3">
      <c r="W12" s="3" t="s">
        <v>616</v>
      </c>
      <c r="X12" s="4">
        <v>1</v>
      </c>
      <c r="DR12" s="8"/>
      <c r="DS12" s="9"/>
      <c r="DT12" s="10"/>
    </row>
    <row r="13" spans="1:124" x14ac:dyDescent="0.3">
      <c r="F13" s="2" t="s">
        <v>644</v>
      </c>
      <c r="G13" t="s">
        <v>647</v>
      </c>
      <c r="W13" s="3" t="s">
        <v>391</v>
      </c>
      <c r="X13" s="4">
        <v>1</v>
      </c>
      <c r="DR13" s="8"/>
      <c r="DS13" s="9"/>
      <c r="DT13" s="10"/>
    </row>
    <row r="14" spans="1:124" x14ac:dyDescent="0.3">
      <c r="F14" s="3" t="s">
        <v>163</v>
      </c>
      <c r="G14" s="4">
        <v>48290.69341</v>
      </c>
      <c r="W14" s="3" t="s">
        <v>541</v>
      </c>
      <c r="X14" s="4">
        <v>1</v>
      </c>
      <c r="DR14" s="8"/>
      <c r="DS14" s="9"/>
      <c r="DT14" s="10"/>
    </row>
    <row r="15" spans="1:124" x14ac:dyDescent="0.3">
      <c r="F15" s="3" t="s">
        <v>472</v>
      </c>
      <c r="G15" s="4">
        <v>48995.980589999999</v>
      </c>
      <c r="W15" s="3" t="s">
        <v>493</v>
      </c>
      <c r="X15" s="4">
        <v>1</v>
      </c>
      <c r="DR15" s="8"/>
      <c r="DS15" s="9"/>
      <c r="DT15" s="10"/>
    </row>
    <row r="16" spans="1:124" x14ac:dyDescent="0.3">
      <c r="F16" s="3" t="s">
        <v>250</v>
      </c>
      <c r="G16" s="4">
        <v>49402.298369999997</v>
      </c>
      <c r="W16" s="3" t="s">
        <v>163</v>
      </c>
      <c r="X16" s="4">
        <v>1</v>
      </c>
      <c r="DR16" s="8"/>
      <c r="DS16" s="9"/>
      <c r="DT16" s="10"/>
    </row>
    <row r="17" spans="2:124" x14ac:dyDescent="0.3">
      <c r="F17" s="3" t="s">
        <v>421</v>
      </c>
      <c r="G17" s="4">
        <v>48175.466119999997</v>
      </c>
      <c r="W17" s="3" t="s">
        <v>175</v>
      </c>
      <c r="X17" s="4">
        <v>1</v>
      </c>
      <c r="DR17" s="8"/>
      <c r="DS17" s="9"/>
      <c r="DT17" s="10"/>
    </row>
    <row r="18" spans="2:124" x14ac:dyDescent="0.3">
      <c r="F18" s="3" t="s">
        <v>535</v>
      </c>
      <c r="G18" s="4">
        <v>49321.157630000002</v>
      </c>
      <c r="W18" s="3" t="s">
        <v>445</v>
      </c>
      <c r="X18" s="4">
        <v>1</v>
      </c>
      <c r="DR18" s="8"/>
      <c r="DS18" s="9"/>
      <c r="DT18" s="10"/>
    </row>
    <row r="19" spans="2:124" x14ac:dyDescent="0.3">
      <c r="F19" s="3" t="s">
        <v>544</v>
      </c>
      <c r="G19" s="4">
        <v>50142.026949999999</v>
      </c>
      <c r="O19" s="2" t="s">
        <v>644</v>
      </c>
      <c r="P19" t="s">
        <v>646</v>
      </c>
      <c r="W19" s="3" t="s">
        <v>472</v>
      </c>
      <c r="X19" s="4">
        <v>1</v>
      </c>
      <c r="DR19" s="8"/>
      <c r="DS19" s="9"/>
      <c r="DT19" s="10"/>
    </row>
    <row r="20" spans="2:124" x14ac:dyDescent="0.3">
      <c r="F20" s="3" t="s">
        <v>235</v>
      </c>
      <c r="G20" s="4">
        <v>48407.386290000002</v>
      </c>
      <c r="O20" s="3" t="s">
        <v>36</v>
      </c>
      <c r="P20" s="4">
        <v>26</v>
      </c>
      <c r="W20" s="3" t="s">
        <v>238</v>
      </c>
      <c r="X20" s="4">
        <v>1</v>
      </c>
      <c r="DR20" s="8"/>
      <c r="DS20" s="9"/>
      <c r="DT20" s="10"/>
    </row>
    <row r="21" spans="2:124" x14ac:dyDescent="0.3">
      <c r="F21" s="3" t="s">
        <v>418</v>
      </c>
      <c r="G21" s="4">
        <v>49833.707719999999</v>
      </c>
      <c r="O21" s="3" t="s">
        <v>26</v>
      </c>
      <c r="P21" s="4">
        <v>28</v>
      </c>
      <c r="W21" s="3" t="s">
        <v>178</v>
      </c>
      <c r="X21" s="4">
        <v>1</v>
      </c>
      <c r="DR21" s="8"/>
      <c r="DS21" s="9"/>
      <c r="DT21" s="10"/>
    </row>
    <row r="22" spans="2:124" x14ac:dyDescent="0.3">
      <c r="F22" s="3" t="s">
        <v>169</v>
      </c>
      <c r="G22" s="4">
        <v>49943.2785</v>
      </c>
      <c r="O22" s="3" t="s">
        <v>59</v>
      </c>
      <c r="P22" s="4">
        <v>27</v>
      </c>
      <c r="W22" s="3" t="s">
        <v>217</v>
      </c>
      <c r="X22" s="4">
        <v>1</v>
      </c>
      <c r="DR22" s="8"/>
      <c r="DS22" s="9"/>
      <c r="DT22" s="10"/>
    </row>
    <row r="23" spans="2:124" x14ac:dyDescent="0.3">
      <c r="B23" s="2" t="s">
        <v>644</v>
      </c>
      <c r="C23" t="s">
        <v>646</v>
      </c>
      <c r="F23" s="3" t="s">
        <v>68</v>
      </c>
      <c r="G23" s="4">
        <v>50119.22279</v>
      </c>
      <c r="O23" s="3" t="s">
        <v>49</v>
      </c>
      <c r="P23" s="4">
        <v>26</v>
      </c>
      <c r="W23" s="3" t="s">
        <v>307</v>
      </c>
      <c r="X23" s="4">
        <v>1</v>
      </c>
      <c r="DR23" s="8"/>
      <c r="DS23" s="9"/>
      <c r="DT23" s="10"/>
    </row>
    <row r="24" spans="2:124" x14ac:dyDescent="0.3">
      <c r="B24" s="3" t="s">
        <v>93</v>
      </c>
      <c r="C24" s="4">
        <v>24</v>
      </c>
      <c r="F24" s="3" t="s">
        <v>645</v>
      </c>
      <c r="G24" s="4">
        <v>492631.21837000002</v>
      </c>
      <c r="O24" s="3" t="s">
        <v>17</v>
      </c>
      <c r="P24" s="4">
        <v>22</v>
      </c>
      <c r="W24" s="3" t="s">
        <v>643</v>
      </c>
      <c r="X24" s="4">
        <v>1</v>
      </c>
      <c r="DR24" s="8"/>
      <c r="DS24" s="9"/>
      <c r="DT24" s="10"/>
    </row>
    <row r="25" spans="2:124" x14ac:dyDescent="0.3">
      <c r="B25" s="3" t="s">
        <v>54</v>
      </c>
      <c r="C25" s="4">
        <v>35</v>
      </c>
      <c r="O25" s="3" t="s">
        <v>103</v>
      </c>
      <c r="P25" s="4">
        <v>25</v>
      </c>
      <c r="W25" s="3" t="s">
        <v>451</v>
      </c>
      <c r="X25" s="4">
        <v>1</v>
      </c>
      <c r="DR25" s="8"/>
      <c r="DS25" s="9"/>
      <c r="DT25" s="10"/>
    </row>
    <row r="26" spans="2:124" x14ac:dyDescent="0.3">
      <c r="B26" s="3" t="s">
        <v>18</v>
      </c>
      <c r="C26" s="4">
        <v>35</v>
      </c>
      <c r="O26" s="3" t="s">
        <v>125</v>
      </c>
      <c r="P26" s="4">
        <v>18</v>
      </c>
      <c r="W26" s="3" t="s">
        <v>286</v>
      </c>
      <c r="X26" s="4">
        <v>1</v>
      </c>
      <c r="DR26" s="8"/>
      <c r="DS26" s="9"/>
      <c r="DT26" s="10"/>
    </row>
    <row r="27" spans="2:124" x14ac:dyDescent="0.3">
      <c r="B27" s="3" t="s">
        <v>43</v>
      </c>
      <c r="C27" s="4">
        <v>40</v>
      </c>
      <c r="O27" s="3" t="s">
        <v>42</v>
      </c>
      <c r="P27" s="4">
        <v>27</v>
      </c>
      <c r="W27" s="3" t="s">
        <v>117</v>
      </c>
      <c r="X27" s="4">
        <v>1</v>
      </c>
      <c r="DR27" s="11"/>
      <c r="DS27" s="12"/>
      <c r="DT27" s="13"/>
    </row>
    <row r="28" spans="2:124" x14ac:dyDescent="0.3">
      <c r="B28" s="3" t="s">
        <v>76</v>
      </c>
      <c r="C28" s="4">
        <v>36</v>
      </c>
      <c r="O28" s="3" t="s">
        <v>645</v>
      </c>
      <c r="P28" s="4">
        <v>199</v>
      </c>
      <c r="W28" s="3" t="s">
        <v>502</v>
      </c>
      <c r="X28" s="4">
        <v>1</v>
      </c>
    </row>
    <row r="29" spans="2:124" x14ac:dyDescent="0.3">
      <c r="B29" s="3" t="s">
        <v>27</v>
      </c>
      <c r="C29" s="4">
        <v>29</v>
      </c>
      <c r="W29" s="3" t="s">
        <v>586</v>
      </c>
      <c r="X29" s="4">
        <v>1</v>
      </c>
    </row>
    <row r="30" spans="2:124" x14ac:dyDescent="0.3">
      <c r="B30" s="3" t="s">
        <v>645</v>
      </c>
      <c r="C30" s="4">
        <v>199</v>
      </c>
      <c r="W30" s="3" t="s">
        <v>466</v>
      </c>
      <c r="X30" s="4">
        <v>1</v>
      </c>
    </row>
    <row r="31" spans="2:124" x14ac:dyDescent="0.3">
      <c r="R31" s="2" t="s">
        <v>644</v>
      </c>
      <c r="S31" t="s">
        <v>647</v>
      </c>
      <c r="W31" s="3" t="s">
        <v>202</v>
      </c>
      <c r="X31" s="4">
        <v>1</v>
      </c>
    </row>
    <row r="32" spans="2:124" x14ac:dyDescent="0.3">
      <c r="R32" s="3" t="s">
        <v>39</v>
      </c>
      <c r="S32" s="4">
        <v>850739.1408373001</v>
      </c>
      <c r="W32" s="3" t="s">
        <v>127</v>
      </c>
      <c r="X32" s="4">
        <v>1</v>
      </c>
    </row>
    <row r="33" spans="7:24" x14ac:dyDescent="0.3">
      <c r="R33" s="3" t="s">
        <v>21</v>
      </c>
      <c r="S33" s="4">
        <v>603985.89846654993</v>
      </c>
      <c r="W33" s="3" t="s">
        <v>529</v>
      </c>
      <c r="X33" s="4">
        <v>1</v>
      </c>
    </row>
    <row r="34" spans="7:24" x14ac:dyDescent="0.3">
      <c r="R34" s="3" t="s">
        <v>65</v>
      </c>
      <c r="S34" s="4">
        <v>1216071.5456619998</v>
      </c>
      <c r="W34" s="3" t="s">
        <v>250</v>
      </c>
      <c r="X34" s="4">
        <v>1</v>
      </c>
    </row>
    <row r="35" spans="7:24" x14ac:dyDescent="0.3">
      <c r="R35" s="3" t="s">
        <v>30</v>
      </c>
      <c r="S35" s="4">
        <v>1196619.0322600002</v>
      </c>
      <c r="W35" s="3" t="s">
        <v>421</v>
      </c>
      <c r="X35" s="4">
        <v>1</v>
      </c>
    </row>
    <row r="36" spans="7:24" x14ac:dyDescent="0.3">
      <c r="R36" s="3" t="s">
        <v>57</v>
      </c>
      <c r="S36" s="4">
        <v>1053216.2888519999</v>
      </c>
      <c r="W36" s="3" t="s">
        <v>577</v>
      </c>
      <c r="X36" s="4">
        <v>1</v>
      </c>
    </row>
    <row r="37" spans="7:24" x14ac:dyDescent="0.3">
      <c r="H37" s="2" t="s">
        <v>648</v>
      </c>
      <c r="R37" s="3" t="s">
        <v>645</v>
      </c>
      <c r="S37" s="4">
        <v>4920631.9060778497</v>
      </c>
      <c r="W37" s="3" t="s">
        <v>95</v>
      </c>
      <c r="X37" s="4">
        <v>1</v>
      </c>
    </row>
    <row r="38" spans="7:24" x14ac:dyDescent="0.3">
      <c r="H38" t="s">
        <v>649</v>
      </c>
      <c r="I38" t="s">
        <v>650</v>
      </c>
      <c r="J38" t="s">
        <v>651</v>
      </c>
      <c r="K38" t="s">
        <v>652</v>
      </c>
      <c r="L38" t="s">
        <v>653</v>
      </c>
      <c r="M38" t="s">
        <v>654</v>
      </c>
      <c r="N38" t="s">
        <v>645</v>
      </c>
      <c r="W38" s="3" t="s">
        <v>253</v>
      </c>
      <c r="X38" s="4">
        <v>1</v>
      </c>
    </row>
    <row r="39" spans="7:24" x14ac:dyDescent="0.3">
      <c r="G39" t="s">
        <v>646</v>
      </c>
      <c r="H39" s="4">
        <v>22</v>
      </c>
      <c r="I39" s="4">
        <v>42</v>
      </c>
      <c r="J39" s="4">
        <v>48</v>
      </c>
      <c r="K39" s="4">
        <v>39</v>
      </c>
      <c r="L39" s="4">
        <v>34</v>
      </c>
      <c r="M39" s="4">
        <v>14</v>
      </c>
      <c r="N39" s="4">
        <v>199</v>
      </c>
      <c r="W39" s="3" t="s">
        <v>295</v>
      </c>
      <c r="X39" s="4">
        <v>1</v>
      </c>
    </row>
    <row r="40" spans="7:24" x14ac:dyDescent="0.3">
      <c r="W40" s="3" t="s">
        <v>114</v>
      </c>
      <c r="X40" s="4">
        <v>1</v>
      </c>
    </row>
    <row r="41" spans="7:24" x14ac:dyDescent="0.3">
      <c r="W41" s="3" t="s">
        <v>409</v>
      </c>
      <c r="X41" s="4">
        <v>1</v>
      </c>
    </row>
    <row r="42" spans="7:24" x14ac:dyDescent="0.3">
      <c r="W42" s="3" t="s">
        <v>91</v>
      </c>
      <c r="X42" s="4">
        <v>1</v>
      </c>
    </row>
    <row r="43" spans="7:24" x14ac:dyDescent="0.3">
      <c r="W43" s="3" t="s">
        <v>38</v>
      </c>
      <c r="X43" s="4">
        <v>1</v>
      </c>
    </row>
    <row r="44" spans="7:24" x14ac:dyDescent="0.3">
      <c r="W44" s="3" t="s">
        <v>403</v>
      </c>
      <c r="X44" s="4">
        <v>1</v>
      </c>
    </row>
    <row r="45" spans="7:24" x14ac:dyDescent="0.3">
      <c r="W45" s="3" t="s">
        <v>376</v>
      </c>
      <c r="X45" s="4">
        <v>1</v>
      </c>
    </row>
    <row r="46" spans="7:24" x14ac:dyDescent="0.3">
      <c r="W46" s="3" t="s">
        <v>142</v>
      </c>
      <c r="X46" s="4">
        <v>1</v>
      </c>
    </row>
    <row r="47" spans="7:24" x14ac:dyDescent="0.3">
      <c r="W47" s="3" t="s">
        <v>322</v>
      </c>
      <c r="X47" s="4">
        <v>1</v>
      </c>
    </row>
    <row r="48" spans="7:24" x14ac:dyDescent="0.3">
      <c r="W48" s="3" t="s">
        <v>205</v>
      </c>
      <c r="X48" s="4">
        <v>1</v>
      </c>
    </row>
    <row r="49" spans="23:24" x14ac:dyDescent="0.3">
      <c r="W49" s="3" t="s">
        <v>526</v>
      </c>
      <c r="X49" s="4">
        <v>1</v>
      </c>
    </row>
    <row r="50" spans="23:24" x14ac:dyDescent="0.3">
      <c r="W50" s="3" t="s">
        <v>433</v>
      </c>
      <c r="X50" s="4">
        <v>1</v>
      </c>
    </row>
    <row r="51" spans="23:24" x14ac:dyDescent="0.3">
      <c r="W51" s="3" t="s">
        <v>160</v>
      </c>
      <c r="X51" s="4">
        <v>1</v>
      </c>
    </row>
    <row r="52" spans="23:24" x14ac:dyDescent="0.3">
      <c r="W52" s="3" t="s">
        <v>370</v>
      </c>
      <c r="X52" s="4">
        <v>1</v>
      </c>
    </row>
    <row r="53" spans="23:24" x14ac:dyDescent="0.3">
      <c r="W53" s="3" t="s">
        <v>265</v>
      </c>
      <c r="X53" s="4">
        <v>1</v>
      </c>
    </row>
    <row r="54" spans="23:24" x14ac:dyDescent="0.3">
      <c r="W54" s="3" t="s">
        <v>199</v>
      </c>
      <c r="X54" s="4">
        <v>1</v>
      </c>
    </row>
    <row r="55" spans="23:24" x14ac:dyDescent="0.3">
      <c r="W55" s="3" t="s">
        <v>625</v>
      </c>
      <c r="X55" s="4">
        <v>1</v>
      </c>
    </row>
    <row r="56" spans="23:24" x14ac:dyDescent="0.3">
      <c r="W56" s="3" t="s">
        <v>388</v>
      </c>
      <c r="X56" s="4">
        <v>1</v>
      </c>
    </row>
    <row r="57" spans="23:24" x14ac:dyDescent="0.3">
      <c r="W57" s="3" t="s">
        <v>133</v>
      </c>
      <c r="X57" s="4">
        <v>1</v>
      </c>
    </row>
    <row r="58" spans="23:24" x14ac:dyDescent="0.3">
      <c r="W58" s="3" t="s">
        <v>123</v>
      </c>
      <c r="X58" s="4">
        <v>1</v>
      </c>
    </row>
    <row r="59" spans="23:24" x14ac:dyDescent="0.3">
      <c r="W59" s="3" t="s">
        <v>181</v>
      </c>
      <c r="X59" s="4">
        <v>1</v>
      </c>
    </row>
    <row r="60" spans="23:24" x14ac:dyDescent="0.3">
      <c r="W60" s="3" t="s">
        <v>535</v>
      </c>
      <c r="X60" s="4">
        <v>1</v>
      </c>
    </row>
    <row r="61" spans="23:24" x14ac:dyDescent="0.3">
      <c r="W61" s="3" t="s">
        <v>463</v>
      </c>
      <c r="X61" s="4">
        <v>1</v>
      </c>
    </row>
    <row r="62" spans="23:24" x14ac:dyDescent="0.3">
      <c r="W62" s="3" t="s">
        <v>184</v>
      </c>
      <c r="X62" s="4">
        <v>1</v>
      </c>
    </row>
    <row r="63" spans="23:24" x14ac:dyDescent="0.3">
      <c r="W63" s="3" t="s">
        <v>214</v>
      </c>
      <c r="X63" s="4">
        <v>1</v>
      </c>
    </row>
    <row r="64" spans="23:24" x14ac:dyDescent="0.3">
      <c r="W64" s="3" t="s">
        <v>145</v>
      </c>
      <c r="X64" s="4">
        <v>1</v>
      </c>
    </row>
    <row r="65" spans="23:24" x14ac:dyDescent="0.3">
      <c r="W65" s="3" t="s">
        <v>310</v>
      </c>
      <c r="X65" s="4">
        <v>1</v>
      </c>
    </row>
    <row r="66" spans="23:24" x14ac:dyDescent="0.3">
      <c r="W66" s="3" t="s">
        <v>61</v>
      </c>
      <c r="X66" s="4">
        <v>1</v>
      </c>
    </row>
    <row r="67" spans="23:24" x14ac:dyDescent="0.3">
      <c r="W67" s="3" t="s">
        <v>358</v>
      </c>
      <c r="X67" s="4">
        <v>1</v>
      </c>
    </row>
    <row r="68" spans="23:24" x14ac:dyDescent="0.3">
      <c r="W68" s="3" t="s">
        <v>574</v>
      </c>
      <c r="X68" s="4">
        <v>1</v>
      </c>
    </row>
    <row r="69" spans="23:24" x14ac:dyDescent="0.3">
      <c r="W69" s="3" t="s">
        <v>640</v>
      </c>
      <c r="X69" s="4">
        <v>1</v>
      </c>
    </row>
    <row r="70" spans="23:24" x14ac:dyDescent="0.3">
      <c r="W70" s="3" t="s">
        <v>394</v>
      </c>
      <c r="X70" s="4">
        <v>1</v>
      </c>
    </row>
    <row r="71" spans="23:24" x14ac:dyDescent="0.3">
      <c r="W71" s="3" t="s">
        <v>136</v>
      </c>
      <c r="X71" s="4">
        <v>1</v>
      </c>
    </row>
    <row r="72" spans="23:24" x14ac:dyDescent="0.3">
      <c r="W72" s="3" t="s">
        <v>427</v>
      </c>
      <c r="X72" s="4">
        <v>1</v>
      </c>
    </row>
    <row r="73" spans="23:24" x14ac:dyDescent="0.3">
      <c r="W73" s="3" t="s">
        <v>382</v>
      </c>
      <c r="X73" s="4">
        <v>1</v>
      </c>
    </row>
    <row r="74" spans="23:24" x14ac:dyDescent="0.3">
      <c r="W74" s="3" t="s">
        <v>220</v>
      </c>
      <c r="X74" s="4">
        <v>1</v>
      </c>
    </row>
    <row r="75" spans="23:24" x14ac:dyDescent="0.3">
      <c r="W75" s="3" t="s">
        <v>105</v>
      </c>
      <c r="X75" s="4">
        <v>1</v>
      </c>
    </row>
    <row r="76" spans="23:24" x14ac:dyDescent="0.3">
      <c r="W76" s="3" t="s">
        <v>484</v>
      </c>
      <c r="X76" s="4">
        <v>1</v>
      </c>
    </row>
    <row r="77" spans="23:24" x14ac:dyDescent="0.3">
      <c r="W77" s="3" t="s">
        <v>547</v>
      </c>
      <c r="X77" s="4">
        <v>1</v>
      </c>
    </row>
    <row r="78" spans="23:24" x14ac:dyDescent="0.3">
      <c r="W78" s="3" t="s">
        <v>139</v>
      </c>
      <c r="X78" s="4">
        <v>1</v>
      </c>
    </row>
    <row r="79" spans="23:24" x14ac:dyDescent="0.3">
      <c r="W79" s="3" t="s">
        <v>556</v>
      </c>
      <c r="X79" s="4">
        <v>1</v>
      </c>
    </row>
    <row r="80" spans="23:24" x14ac:dyDescent="0.3">
      <c r="W80" s="3" t="s">
        <v>340</v>
      </c>
      <c r="X80" s="4">
        <v>1</v>
      </c>
    </row>
    <row r="81" spans="23:24" x14ac:dyDescent="0.3">
      <c r="W81" s="3" t="s">
        <v>45</v>
      </c>
      <c r="X81" s="4">
        <v>1</v>
      </c>
    </row>
    <row r="82" spans="23:24" x14ac:dyDescent="0.3">
      <c r="W82" s="3" t="s">
        <v>349</v>
      </c>
      <c r="X82" s="4">
        <v>1</v>
      </c>
    </row>
    <row r="83" spans="23:24" x14ac:dyDescent="0.3">
      <c r="W83" s="3" t="s">
        <v>598</v>
      </c>
      <c r="X83" s="4">
        <v>1</v>
      </c>
    </row>
    <row r="84" spans="23:24" x14ac:dyDescent="0.3">
      <c r="W84" s="3" t="s">
        <v>448</v>
      </c>
      <c r="X84" s="4">
        <v>1</v>
      </c>
    </row>
    <row r="85" spans="23:24" x14ac:dyDescent="0.3">
      <c r="W85" s="3" t="s">
        <v>101</v>
      </c>
      <c r="X85" s="4">
        <v>1</v>
      </c>
    </row>
    <row r="86" spans="23:24" x14ac:dyDescent="0.3">
      <c r="W86" s="3" t="s">
        <v>283</v>
      </c>
      <c r="X86" s="4">
        <v>1</v>
      </c>
    </row>
    <row r="87" spans="23:24" x14ac:dyDescent="0.3">
      <c r="W87" s="3" t="s">
        <v>397</v>
      </c>
      <c r="X87" s="4">
        <v>1</v>
      </c>
    </row>
    <row r="88" spans="23:24" x14ac:dyDescent="0.3">
      <c r="W88" s="3" t="s">
        <v>226</v>
      </c>
      <c r="X88" s="4">
        <v>1</v>
      </c>
    </row>
    <row r="89" spans="23:24" x14ac:dyDescent="0.3">
      <c r="W89" s="3" t="s">
        <v>319</v>
      </c>
      <c r="X89" s="4">
        <v>1</v>
      </c>
    </row>
    <row r="90" spans="23:24" x14ac:dyDescent="0.3">
      <c r="W90" s="3" t="s">
        <v>601</v>
      </c>
      <c r="X90" s="4">
        <v>1</v>
      </c>
    </row>
    <row r="91" spans="23:24" x14ac:dyDescent="0.3">
      <c r="W91" s="3" t="s">
        <v>292</v>
      </c>
      <c r="X91" s="4">
        <v>1</v>
      </c>
    </row>
    <row r="92" spans="23:24" x14ac:dyDescent="0.3">
      <c r="W92" s="3" t="s">
        <v>256</v>
      </c>
      <c r="X92" s="4">
        <v>1</v>
      </c>
    </row>
    <row r="93" spans="23:24" x14ac:dyDescent="0.3">
      <c r="W93" s="3" t="s">
        <v>475</v>
      </c>
      <c r="X93" s="4">
        <v>1</v>
      </c>
    </row>
    <row r="94" spans="23:24" x14ac:dyDescent="0.3">
      <c r="W94" s="3" t="s">
        <v>334</v>
      </c>
      <c r="X94" s="4">
        <v>1</v>
      </c>
    </row>
    <row r="95" spans="23:24" x14ac:dyDescent="0.3">
      <c r="W95" s="3" t="s">
        <v>544</v>
      </c>
      <c r="X95" s="4">
        <v>1</v>
      </c>
    </row>
    <row r="96" spans="23:24" x14ac:dyDescent="0.3">
      <c r="W96" s="3" t="s">
        <v>406</v>
      </c>
      <c r="X96" s="4">
        <v>1</v>
      </c>
    </row>
    <row r="97" spans="23:24" x14ac:dyDescent="0.3">
      <c r="W97" s="3" t="s">
        <v>412</v>
      </c>
      <c r="X97" s="4">
        <v>1</v>
      </c>
    </row>
    <row r="98" spans="23:24" x14ac:dyDescent="0.3">
      <c r="W98" s="3" t="s">
        <v>559</v>
      </c>
      <c r="X98" s="4">
        <v>1</v>
      </c>
    </row>
    <row r="99" spans="23:24" x14ac:dyDescent="0.3">
      <c r="W99" s="3" t="s">
        <v>108</v>
      </c>
      <c r="X99" s="4">
        <v>1</v>
      </c>
    </row>
    <row r="100" spans="23:24" x14ac:dyDescent="0.3">
      <c r="W100" s="3" t="s">
        <v>460</v>
      </c>
      <c r="X100" s="4">
        <v>1</v>
      </c>
    </row>
    <row r="101" spans="23:24" x14ac:dyDescent="0.3">
      <c r="W101" s="3" t="s">
        <v>280</v>
      </c>
      <c r="X101" s="4">
        <v>1</v>
      </c>
    </row>
    <row r="102" spans="23:24" x14ac:dyDescent="0.3">
      <c r="W102" s="3" t="s">
        <v>436</v>
      </c>
      <c r="X102" s="4">
        <v>1</v>
      </c>
    </row>
    <row r="103" spans="23:24" x14ac:dyDescent="0.3">
      <c r="W103" s="3" t="s">
        <v>301</v>
      </c>
      <c r="X103" s="4">
        <v>1</v>
      </c>
    </row>
    <row r="104" spans="23:24" x14ac:dyDescent="0.3">
      <c r="W104" s="3" t="s">
        <v>337</v>
      </c>
      <c r="X104" s="4">
        <v>1</v>
      </c>
    </row>
    <row r="105" spans="23:24" x14ac:dyDescent="0.3">
      <c r="W105" s="3" t="s">
        <v>241</v>
      </c>
      <c r="X105" s="4">
        <v>1</v>
      </c>
    </row>
    <row r="106" spans="23:24" x14ac:dyDescent="0.3">
      <c r="W106" s="3" t="s">
        <v>29</v>
      </c>
      <c r="X106" s="4">
        <v>1</v>
      </c>
    </row>
    <row r="107" spans="23:24" x14ac:dyDescent="0.3">
      <c r="W107" s="3" t="s">
        <v>415</v>
      </c>
      <c r="X107" s="4">
        <v>1</v>
      </c>
    </row>
    <row r="108" spans="23:24" x14ac:dyDescent="0.3">
      <c r="W108" s="3" t="s">
        <v>193</v>
      </c>
      <c r="X108" s="4">
        <v>1</v>
      </c>
    </row>
    <row r="109" spans="23:24" x14ac:dyDescent="0.3">
      <c r="W109" s="3" t="s">
        <v>400</v>
      </c>
      <c r="X109" s="4">
        <v>1</v>
      </c>
    </row>
    <row r="110" spans="23:24" x14ac:dyDescent="0.3">
      <c r="W110" s="3" t="s">
        <v>469</v>
      </c>
      <c r="X110" s="4">
        <v>1</v>
      </c>
    </row>
    <row r="111" spans="23:24" x14ac:dyDescent="0.3">
      <c r="W111" s="3" t="s">
        <v>439</v>
      </c>
      <c r="X111" s="4">
        <v>1</v>
      </c>
    </row>
    <row r="112" spans="23:24" x14ac:dyDescent="0.3">
      <c r="W112" s="3" t="s">
        <v>277</v>
      </c>
      <c r="X112" s="4">
        <v>1</v>
      </c>
    </row>
    <row r="113" spans="23:24" x14ac:dyDescent="0.3">
      <c r="W113" s="3" t="s">
        <v>313</v>
      </c>
      <c r="X113" s="4">
        <v>1</v>
      </c>
    </row>
    <row r="114" spans="23:24" x14ac:dyDescent="0.3">
      <c r="W114" s="3" t="s">
        <v>589</v>
      </c>
      <c r="X114" s="4">
        <v>1</v>
      </c>
    </row>
    <row r="115" spans="23:24" x14ac:dyDescent="0.3">
      <c r="W115" s="3" t="s">
        <v>304</v>
      </c>
      <c r="X115" s="4">
        <v>1</v>
      </c>
    </row>
    <row r="116" spans="23:24" x14ac:dyDescent="0.3">
      <c r="W116" s="3" t="s">
        <v>592</v>
      </c>
      <c r="X116" s="4">
        <v>1</v>
      </c>
    </row>
    <row r="117" spans="23:24" x14ac:dyDescent="0.3">
      <c r="W117" s="3" t="s">
        <v>157</v>
      </c>
      <c r="X117" s="4">
        <v>1</v>
      </c>
    </row>
    <row r="118" spans="23:24" x14ac:dyDescent="0.3">
      <c r="W118" s="3" t="s">
        <v>196</v>
      </c>
      <c r="X118" s="4">
        <v>1</v>
      </c>
    </row>
    <row r="119" spans="23:24" x14ac:dyDescent="0.3">
      <c r="W119" s="3" t="s">
        <v>148</v>
      </c>
      <c r="X119" s="4">
        <v>1</v>
      </c>
    </row>
    <row r="120" spans="23:24" x14ac:dyDescent="0.3">
      <c r="W120" s="3" t="s">
        <v>481</v>
      </c>
      <c r="X120" s="4">
        <v>1</v>
      </c>
    </row>
    <row r="121" spans="23:24" x14ac:dyDescent="0.3">
      <c r="W121" s="3" t="s">
        <v>187</v>
      </c>
      <c r="X121" s="4">
        <v>1</v>
      </c>
    </row>
    <row r="122" spans="23:24" x14ac:dyDescent="0.3">
      <c r="W122" s="3" t="s">
        <v>631</v>
      </c>
      <c r="X122" s="4">
        <v>1</v>
      </c>
    </row>
    <row r="123" spans="23:24" x14ac:dyDescent="0.3">
      <c r="W123" s="3" t="s">
        <v>364</v>
      </c>
      <c r="X123" s="4">
        <v>1</v>
      </c>
    </row>
    <row r="124" spans="23:24" x14ac:dyDescent="0.3">
      <c r="W124" s="3" t="s">
        <v>571</v>
      </c>
      <c r="X124" s="4">
        <v>1</v>
      </c>
    </row>
    <row r="125" spans="23:24" x14ac:dyDescent="0.3">
      <c r="W125" s="3" t="s">
        <v>316</v>
      </c>
      <c r="X125" s="4">
        <v>1</v>
      </c>
    </row>
    <row r="126" spans="23:24" x14ac:dyDescent="0.3">
      <c r="W126" s="3" t="s">
        <v>346</v>
      </c>
      <c r="X126" s="4">
        <v>1</v>
      </c>
    </row>
    <row r="127" spans="23:24" x14ac:dyDescent="0.3">
      <c r="W127" s="3" t="s">
        <v>78</v>
      </c>
      <c r="X127" s="4">
        <v>1</v>
      </c>
    </row>
    <row r="128" spans="23:24" x14ac:dyDescent="0.3">
      <c r="W128" s="3" t="s">
        <v>550</v>
      </c>
      <c r="X128" s="4">
        <v>1</v>
      </c>
    </row>
    <row r="129" spans="23:24" x14ac:dyDescent="0.3">
      <c r="W129" s="3" t="s">
        <v>634</v>
      </c>
      <c r="X129" s="4">
        <v>1</v>
      </c>
    </row>
    <row r="130" spans="23:24" x14ac:dyDescent="0.3">
      <c r="W130" s="3" t="s">
        <v>172</v>
      </c>
      <c r="X130" s="4">
        <v>1</v>
      </c>
    </row>
    <row r="131" spans="23:24" x14ac:dyDescent="0.3">
      <c r="W131" s="3" t="s">
        <v>430</v>
      </c>
      <c r="X131" s="4">
        <v>1</v>
      </c>
    </row>
    <row r="132" spans="23:24" x14ac:dyDescent="0.3">
      <c r="W132" s="3" t="s">
        <v>262</v>
      </c>
      <c r="X132" s="4">
        <v>1</v>
      </c>
    </row>
    <row r="133" spans="23:24" x14ac:dyDescent="0.3">
      <c r="W133" s="3" t="s">
        <v>229</v>
      </c>
      <c r="X133" s="4">
        <v>1</v>
      </c>
    </row>
    <row r="134" spans="23:24" x14ac:dyDescent="0.3">
      <c r="W134" s="3" t="s">
        <v>211</v>
      </c>
      <c r="X134" s="4">
        <v>1</v>
      </c>
    </row>
    <row r="135" spans="23:24" x14ac:dyDescent="0.3">
      <c r="W135" s="3" t="s">
        <v>637</v>
      </c>
      <c r="X135" s="4">
        <v>1</v>
      </c>
    </row>
    <row r="136" spans="23:24" x14ac:dyDescent="0.3">
      <c r="W136" s="3" t="s">
        <v>532</v>
      </c>
      <c r="X136" s="4">
        <v>1</v>
      </c>
    </row>
    <row r="137" spans="23:24" x14ac:dyDescent="0.3">
      <c r="W137" s="3" t="s">
        <v>88</v>
      </c>
      <c r="X137" s="4">
        <v>1</v>
      </c>
    </row>
    <row r="138" spans="23:24" x14ac:dyDescent="0.3">
      <c r="W138" s="3" t="s">
        <v>235</v>
      </c>
      <c r="X138" s="4">
        <v>1</v>
      </c>
    </row>
    <row r="139" spans="23:24" x14ac:dyDescent="0.3">
      <c r="W139" s="3" t="s">
        <v>490</v>
      </c>
      <c r="X139" s="4">
        <v>1</v>
      </c>
    </row>
    <row r="140" spans="23:24" x14ac:dyDescent="0.3">
      <c r="W140" s="3" t="s">
        <v>208</v>
      </c>
      <c r="X140" s="4">
        <v>1</v>
      </c>
    </row>
    <row r="141" spans="23:24" x14ac:dyDescent="0.3">
      <c r="W141" s="3" t="s">
        <v>190</v>
      </c>
      <c r="X141" s="4">
        <v>1</v>
      </c>
    </row>
    <row r="142" spans="23:24" x14ac:dyDescent="0.3">
      <c r="W142" s="3" t="s">
        <v>361</v>
      </c>
      <c r="X142" s="4">
        <v>1</v>
      </c>
    </row>
    <row r="143" spans="23:24" x14ac:dyDescent="0.3">
      <c r="W143" s="3" t="s">
        <v>56</v>
      </c>
      <c r="X143" s="4">
        <v>1</v>
      </c>
    </row>
    <row r="144" spans="23:24" x14ac:dyDescent="0.3">
      <c r="W144" s="3" t="s">
        <v>71</v>
      </c>
      <c r="X144" s="4">
        <v>1</v>
      </c>
    </row>
    <row r="145" spans="23:24" x14ac:dyDescent="0.3">
      <c r="W145" s="3" t="s">
        <v>343</v>
      </c>
      <c r="X145" s="4">
        <v>1</v>
      </c>
    </row>
    <row r="146" spans="23:24" x14ac:dyDescent="0.3">
      <c r="W146" s="3" t="s">
        <v>478</v>
      </c>
      <c r="X146" s="4">
        <v>1</v>
      </c>
    </row>
    <row r="147" spans="23:24" x14ac:dyDescent="0.3">
      <c r="W147" s="3" t="s">
        <v>298</v>
      </c>
      <c r="X147" s="4">
        <v>1</v>
      </c>
    </row>
    <row r="148" spans="23:24" x14ac:dyDescent="0.3">
      <c r="W148" s="3" t="s">
        <v>499</v>
      </c>
      <c r="X148" s="4">
        <v>1</v>
      </c>
    </row>
    <row r="149" spans="23:24" x14ac:dyDescent="0.3">
      <c r="W149" s="3" t="s">
        <v>367</v>
      </c>
      <c r="X149" s="4">
        <v>1</v>
      </c>
    </row>
    <row r="150" spans="23:24" x14ac:dyDescent="0.3">
      <c r="W150" s="3" t="s">
        <v>418</v>
      </c>
      <c r="X150" s="4">
        <v>1</v>
      </c>
    </row>
    <row r="151" spans="23:24" x14ac:dyDescent="0.3">
      <c r="W151" s="3" t="s">
        <v>169</v>
      </c>
      <c r="X151" s="4">
        <v>1</v>
      </c>
    </row>
    <row r="152" spans="23:24" x14ac:dyDescent="0.3">
      <c r="W152" s="3" t="s">
        <v>151</v>
      </c>
      <c r="X152" s="4">
        <v>1</v>
      </c>
    </row>
    <row r="153" spans="23:24" x14ac:dyDescent="0.3">
      <c r="W153" s="3" t="s">
        <v>64</v>
      </c>
      <c r="X153" s="4">
        <v>1</v>
      </c>
    </row>
    <row r="154" spans="23:24" x14ac:dyDescent="0.3">
      <c r="W154" s="3" t="s">
        <v>331</v>
      </c>
      <c r="X154" s="4">
        <v>1</v>
      </c>
    </row>
    <row r="155" spans="23:24" x14ac:dyDescent="0.3">
      <c r="W155" s="3" t="s">
        <v>82</v>
      </c>
      <c r="X155" s="4">
        <v>1</v>
      </c>
    </row>
    <row r="156" spans="23:24" x14ac:dyDescent="0.3">
      <c r="W156" s="3" t="s">
        <v>385</v>
      </c>
      <c r="X156" s="4">
        <v>1</v>
      </c>
    </row>
    <row r="157" spans="23:24" x14ac:dyDescent="0.3">
      <c r="W157" s="3" t="s">
        <v>352</v>
      </c>
      <c r="X157" s="4">
        <v>1</v>
      </c>
    </row>
    <row r="158" spans="23:24" x14ac:dyDescent="0.3">
      <c r="W158" s="3" t="s">
        <v>247</v>
      </c>
      <c r="X158" s="4">
        <v>1</v>
      </c>
    </row>
    <row r="159" spans="23:24" x14ac:dyDescent="0.3">
      <c r="W159" s="3" t="s">
        <v>85</v>
      </c>
      <c r="X159" s="4">
        <v>1</v>
      </c>
    </row>
    <row r="160" spans="23:24" x14ac:dyDescent="0.3">
      <c r="W160" s="3" t="s">
        <v>511</v>
      </c>
      <c r="X160" s="4">
        <v>1</v>
      </c>
    </row>
    <row r="161" spans="23:24" x14ac:dyDescent="0.3">
      <c r="W161" s="3" t="s">
        <v>505</v>
      </c>
      <c r="X161" s="4">
        <v>1</v>
      </c>
    </row>
    <row r="162" spans="23:24" x14ac:dyDescent="0.3">
      <c r="W162" s="3" t="s">
        <v>442</v>
      </c>
      <c r="X162" s="4">
        <v>1</v>
      </c>
    </row>
    <row r="163" spans="23:24" x14ac:dyDescent="0.3">
      <c r="W163" s="3" t="s">
        <v>622</v>
      </c>
      <c r="X163" s="4">
        <v>1</v>
      </c>
    </row>
    <row r="164" spans="23:24" x14ac:dyDescent="0.3">
      <c r="W164" s="3" t="s">
        <v>580</v>
      </c>
      <c r="X164" s="4">
        <v>1</v>
      </c>
    </row>
    <row r="165" spans="23:24" x14ac:dyDescent="0.3">
      <c r="W165" s="3" t="s">
        <v>457</v>
      </c>
      <c r="X165" s="4">
        <v>1</v>
      </c>
    </row>
    <row r="166" spans="23:24" x14ac:dyDescent="0.3">
      <c r="W166" s="3" t="s">
        <v>74</v>
      </c>
      <c r="X166" s="4">
        <v>1</v>
      </c>
    </row>
    <row r="167" spans="23:24" x14ac:dyDescent="0.3">
      <c r="W167" s="3" t="s">
        <v>232</v>
      </c>
      <c r="X167" s="4">
        <v>1</v>
      </c>
    </row>
    <row r="168" spans="23:24" x14ac:dyDescent="0.3">
      <c r="W168" s="3" t="s">
        <v>130</v>
      </c>
      <c r="X168" s="4">
        <v>1</v>
      </c>
    </row>
    <row r="169" spans="23:24" x14ac:dyDescent="0.3">
      <c r="W169" s="3" t="s">
        <v>289</v>
      </c>
      <c r="X169" s="4">
        <v>1</v>
      </c>
    </row>
    <row r="170" spans="23:24" x14ac:dyDescent="0.3">
      <c r="W170" s="3" t="s">
        <v>274</v>
      </c>
      <c r="X170" s="4">
        <v>1</v>
      </c>
    </row>
    <row r="171" spans="23:24" x14ac:dyDescent="0.3">
      <c r="W171" s="3" t="s">
        <v>520</v>
      </c>
      <c r="X171" s="4">
        <v>1</v>
      </c>
    </row>
    <row r="172" spans="23:24" x14ac:dyDescent="0.3">
      <c r="W172" s="3" t="s">
        <v>154</v>
      </c>
      <c r="X172" s="4">
        <v>1</v>
      </c>
    </row>
    <row r="173" spans="23:24" x14ac:dyDescent="0.3">
      <c r="W173" s="3" t="s">
        <v>454</v>
      </c>
      <c r="X173" s="4">
        <v>1</v>
      </c>
    </row>
    <row r="174" spans="23:24" x14ac:dyDescent="0.3">
      <c r="W174" s="3" t="s">
        <v>619</v>
      </c>
      <c r="X174" s="4">
        <v>1</v>
      </c>
    </row>
    <row r="175" spans="23:24" x14ac:dyDescent="0.3">
      <c r="W175" s="3" t="s">
        <v>20</v>
      </c>
      <c r="X175" s="4">
        <v>1</v>
      </c>
    </row>
    <row r="176" spans="23:24" x14ac:dyDescent="0.3">
      <c r="W176" s="3" t="s">
        <v>268</v>
      </c>
      <c r="X176" s="4">
        <v>1</v>
      </c>
    </row>
    <row r="177" spans="23:24" x14ac:dyDescent="0.3">
      <c r="W177" s="3" t="s">
        <v>496</v>
      </c>
      <c r="X177" s="4">
        <v>1</v>
      </c>
    </row>
    <row r="178" spans="23:24" x14ac:dyDescent="0.3">
      <c r="W178" s="3" t="s">
        <v>271</v>
      </c>
      <c r="X178" s="4">
        <v>1</v>
      </c>
    </row>
    <row r="179" spans="23:24" x14ac:dyDescent="0.3">
      <c r="W179" s="3" t="s">
        <v>328</v>
      </c>
      <c r="X179" s="4">
        <v>1</v>
      </c>
    </row>
    <row r="180" spans="23:24" x14ac:dyDescent="0.3">
      <c r="W180" s="3" t="s">
        <v>523</v>
      </c>
      <c r="X180" s="4">
        <v>1</v>
      </c>
    </row>
    <row r="181" spans="23:24" x14ac:dyDescent="0.3">
      <c r="W181" s="3" t="s">
        <v>68</v>
      </c>
      <c r="X181" s="4">
        <v>1</v>
      </c>
    </row>
    <row r="182" spans="23:24" x14ac:dyDescent="0.3">
      <c r="W182" s="3" t="s">
        <v>244</v>
      </c>
      <c r="X182" s="4">
        <v>1</v>
      </c>
    </row>
    <row r="183" spans="23:24" x14ac:dyDescent="0.3">
      <c r="W183" s="3" t="s">
        <v>562</v>
      </c>
      <c r="X183" s="4">
        <v>1</v>
      </c>
    </row>
    <row r="184" spans="23:24" x14ac:dyDescent="0.3">
      <c r="W184" s="3" t="s">
        <v>379</v>
      </c>
      <c r="X184" s="4">
        <v>1</v>
      </c>
    </row>
    <row r="185" spans="23:24" x14ac:dyDescent="0.3">
      <c r="W185" s="3" t="s">
        <v>595</v>
      </c>
      <c r="X185" s="4">
        <v>1</v>
      </c>
    </row>
    <row r="186" spans="23:24" x14ac:dyDescent="0.3">
      <c r="W186" s="3" t="s">
        <v>373</v>
      </c>
      <c r="X186" s="4">
        <v>1</v>
      </c>
    </row>
    <row r="187" spans="23:24" x14ac:dyDescent="0.3">
      <c r="W187" s="3" t="s">
        <v>583</v>
      </c>
      <c r="X187" s="4">
        <v>1</v>
      </c>
    </row>
    <row r="188" spans="23:24" x14ac:dyDescent="0.3">
      <c r="W188" s="3" t="s">
        <v>223</v>
      </c>
      <c r="X188" s="4">
        <v>1</v>
      </c>
    </row>
    <row r="189" spans="23:24" x14ac:dyDescent="0.3">
      <c r="W189" s="3" t="s">
        <v>508</v>
      </c>
      <c r="X189" s="4">
        <v>1</v>
      </c>
    </row>
    <row r="190" spans="23:24" x14ac:dyDescent="0.3">
      <c r="W190" s="3" t="s">
        <v>487</v>
      </c>
      <c r="X190" s="4">
        <v>1</v>
      </c>
    </row>
    <row r="191" spans="23:24" x14ac:dyDescent="0.3">
      <c r="W191" s="3" t="s">
        <v>355</v>
      </c>
      <c r="X191" s="4">
        <v>1</v>
      </c>
    </row>
    <row r="192" spans="23:24" x14ac:dyDescent="0.3">
      <c r="W192" s="3" t="s">
        <v>98</v>
      </c>
      <c r="X192" s="4">
        <v>1</v>
      </c>
    </row>
    <row r="193" spans="23:24" x14ac:dyDescent="0.3">
      <c r="W193" s="3" t="s">
        <v>568</v>
      </c>
      <c r="X193" s="4">
        <v>1</v>
      </c>
    </row>
    <row r="194" spans="23:24" x14ac:dyDescent="0.3">
      <c r="W194" s="3" t="s">
        <v>259</v>
      </c>
      <c r="X194" s="4">
        <v>1</v>
      </c>
    </row>
    <row r="195" spans="23:24" x14ac:dyDescent="0.3">
      <c r="W195" s="3" t="s">
        <v>607</v>
      </c>
      <c r="X195" s="4">
        <v>1</v>
      </c>
    </row>
    <row r="196" spans="23:24" x14ac:dyDescent="0.3">
      <c r="W196" s="3" t="s">
        <v>538</v>
      </c>
      <c r="X196" s="4">
        <v>1</v>
      </c>
    </row>
    <row r="197" spans="23:24" x14ac:dyDescent="0.3">
      <c r="W197" s="3" t="s">
        <v>517</v>
      </c>
      <c r="X197" s="4">
        <v>1</v>
      </c>
    </row>
    <row r="198" spans="23:24" x14ac:dyDescent="0.3">
      <c r="W198" s="3" t="s">
        <v>325</v>
      </c>
      <c r="X198" s="4">
        <v>1</v>
      </c>
    </row>
    <row r="199" spans="23:24" x14ac:dyDescent="0.3">
      <c r="W199" s="3" t="s">
        <v>166</v>
      </c>
      <c r="X199" s="4">
        <v>1</v>
      </c>
    </row>
    <row r="200" spans="23:24" x14ac:dyDescent="0.3">
      <c r="W200" s="3" t="s">
        <v>628</v>
      </c>
      <c r="X200" s="4">
        <v>1</v>
      </c>
    </row>
    <row r="201" spans="23:24" x14ac:dyDescent="0.3">
      <c r="W201" s="3" t="s">
        <v>51</v>
      </c>
      <c r="X201" s="4">
        <v>1</v>
      </c>
    </row>
    <row r="202" spans="23:24" x14ac:dyDescent="0.3">
      <c r="W202" s="3" t="s">
        <v>604</v>
      </c>
      <c r="X202" s="4">
        <v>1</v>
      </c>
    </row>
    <row r="203" spans="23:24" x14ac:dyDescent="0.3">
      <c r="W203" s="3" t="s">
        <v>111</v>
      </c>
      <c r="X203" s="4">
        <v>1</v>
      </c>
    </row>
    <row r="204" spans="23:24" x14ac:dyDescent="0.3">
      <c r="W204" s="3" t="s">
        <v>120</v>
      </c>
      <c r="X204" s="4">
        <v>1</v>
      </c>
    </row>
    <row r="205" spans="23:24" x14ac:dyDescent="0.3">
      <c r="W205" s="3" t="s">
        <v>514</v>
      </c>
      <c r="X205" s="4">
        <v>1</v>
      </c>
    </row>
    <row r="206" spans="23:24" x14ac:dyDescent="0.3">
      <c r="W206" s="3" t="s">
        <v>424</v>
      </c>
      <c r="X206" s="4">
        <v>1</v>
      </c>
    </row>
    <row r="207" spans="23:24" x14ac:dyDescent="0.3">
      <c r="W207" s="3" t="s">
        <v>553</v>
      </c>
      <c r="X207" s="4">
        <v>1</v>
      </c>
    </row>
    <row r="208" spans="23:24" x14ac:dyDescent="0.3">
      <c r="W208" s="3" t="s">
        <v>655</v>
      </c>
      <c r="X208" s="4"/>
    </row>
    <row r="209" spans="23:31" x14ac:dyDescent="0.3">
      <c r="W209" s="3" t="s">
        <v>645</v>
      </c>
      <c r="X209" s="4">
        <v>199</v>
      </c>
    </row>
    <row r="216" spans="23:31" x14ac:dyDescent="0.3">
      <c r="X216" s="2" t="s">
        <v>648</v>
      </c>
    </row>
    <row r="217" spans="23:31" x14ac:dyDescent="0.3">
      <c r="X217" t="s">
        <v>656</v>
      </c>
      <c r="Y217" t="s">
        <v>649</v>
      </c>
      <c r="Z217" t="s">
        <v>650</v>
      </c>
      <c r="AA217" t="s">
        <v>651</v>
      </c>
      <c r="AB217" t="s">
        <v>652</v>
      </c>
      <c r="AC217" t="s">
        <v>653</v>
      </c>
      <c r="AD217" t="s">
        <v>654</v>
      </c>
      <c r="AE217" t="s">
        <v>645</v>
      </c>
    </row>
    <row r="218" spans="23:31" x14ac:dyDescent="0.3">
      <c r="W218" t="s">
        <v>646</v>
      </c>
      <c r="X218" s="4"/>
      <c r="Y218" s="4">
        <v>22</v>
      </c>
      <c r="Z218" s="4">
        <v>40</v>
      </c>
      <c r="AA218" s="4">
        <v>47</v>
      </c>
      <c r="AB218" s="4">
        <v>41</v>
      </c>
      <c r="AC218" s="4">
        <v>32</v>
      </c>
      <c r="AD218" s="4">
        <v>17</v>
      </c>
      <c r="AE218" s="4">
        <v>199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D4F47-F2C3-4AE1-A705-182DE6C65839}">
  <dimension ref="A1:O200"/>
  <sheetViews>
    <sheetView workbookViewId="0">
      <selection sqref="A1:O200"/>
    </sheetView>
  </sheetViews>
  <sheetFormatPr defaultRowHeight="14.4" x14ac:dyDescent="0.3"/>
  <cols>
    <col min="1" max="1" width="28.88671875" bestFit="1" customWidth="1"/>
    <col min="2" max="2" width="4" bestFit="1" customWidth="1"/>
    <col min="3" max="3" width="6.88671875" bestFit="1" customWidth="1"/>
    <col min="4" max="4" width="10.109375" bestFit="1" customWidth="1"/>
    <col min="5" max="6" width="15.88671875" bestFit="1" customWidth="1"/>
    <col min="7" max="7" width="27.6640625" bestFit="1" customWidth="1"/>
    <col min="8" max="8" width="34.88671875" bestFit="1" customWidth="1"/>
    <col min="9" max="9" width="16.21875" bestFit="1" customWidth="1"/>
    <col min="10" max="10" width="12.6640625" bestFit="1" customWidth="1"/>
    <col min="11" max="11" width="12.88671875" bestFit="1" customWidth="1"/>
    <col min="12" max="12" width="13.6640625" bestFit="1" customWidth="1"/>
    <col min="13" max="13" width="13.33203125" style="1" bestFit="1" customWidth="1"/>
    <col min="14" max="14" width="11.33203125" bestFit="1" customWidth="1"/>
    <col min="15" max="15" width="11" bestFit="1" customWidth="1"/>
  </cols>
  <sheetData>
    <row r="1" spans="1:15" x14ac:dyDescent="0.3">
      <c r="A1" t="s">
        <v>0</v>
      </c>
      <c r="B1" t="s">
        <v>1</v>
      </c>
      <c r="C1" t="s">
        <v>2</v>
      </c>
      <c r="D1" t="s">
        <v>3</v>
      </c>
      <c r="E1" t="s">
        <v>4</v>
      </c>
      <c r="F1" s="1" t="s">
        <v>5</v>
      </c>
      <c r="G1" t="s">
        <v>6</v>
      </c>
      <c r="H1" t="s">
        <v>7</v>
      </c>
      <c r="I1" t="s">
        <v>8</v>
      </c>
      <c r="J1" t="s">
        <v>9</v>
      </c>
      <c r="K1" t="s">
        <v>10</v>
      </c>
      <c r="L1" t="s">
        <v>11</v>
      </c>
      <c r="M1" s="1" t="s">
        <v>12</v>
      </c>
      <c r="N1" t="s">
        <v>13</v>
      </c>
      <c r="O1" t="s">
        <v>14</v>
      </c>
    </row>
    <row r="2" spans="1:15" x14ac:dyDescent="0.3">
      <c r="A2" t="s">
        <v>15</v>
      </c>
      <c r="B2">
        <v>30</v>
      </c>
      <c r="C2" t="s">
        <v>16</v>
      </c>
      <c r="D2" t="s">
        <v>17</v>
      </c>
      <c r="E2" t="s">
        <v>18</v>
      </c>
      <c r="F2" s="1">
        <v>45322</v>
      </c>
      <c r="G2" t="s">
        <v>19</v>
      </c>
      <c r="H2" t="s">
        <v>20</v>
      </c>
      <c r="I2" t="s">
        <v>21</v>
      </c>
      <c r="J2">
        <v>18856.281309999998</v>
      </c>
      <c r="K2">
        <v>328</v>
      </c>
      <c r="L2" t="s">
        <v>22</v>
      </c>
      <c r="M2" s="1">
        <v>45324</v>
      </c>
      <c r="N2" t="s">
        <v>23</v>
      </c>
      <c r="O2" t="s">
        <v>24</v>
      </c>
    </row>
    <row r="3" spans="1:15" x14ac:dyDescent="0.3">
      <c r="A3" t="s">
        <v>25</v>
      </c>
      <c r="B3">
        <v>62</v>
      </c>
      <c r="C3" t="s">
        <v>16</v>
      </c>
      <c r="D3" t="s">
        <v>26</v>
      </c>
      <c r="E3" t="s">
        <v>27</v>
      </c>
      <c r="F3" s="1">
        <v>43697</v>
      </c>
      <c r="G3" t="s">
        <v>28</v>
      </c>
      <c r="H3" t="s">
        <v>29</v>
      </c>
      <c r="I3" t="s">
        <v>30</v>
      </c>
      <c r="J3">
        <v>33643.327290000001</v>
      </c>
      <c r="K3">
        <v>265</v>
      </c>
      <c r="L3" t="s">
        <v>31</v>
      </c>
      <c r="M3" s="1">
        <v>43703</v>
      </c>
      <c r="N3" t="s">
        <v>32</v>
      </c>
      <c r="O3" t="s">
        <v>33</v>
      </c>
    </row>
    <row r="4" spans="1:15" x14ac:dyDescent="0.3">
      <c r="A4" t="s">
        <v>34</v>
      </c>
      <c r="B4">
        <v>76</v>
      </c>
      <c r="C4" t="s">
        <v>35</v>
      </c>
      <c r="D4" t="s">
        <v>36</v>
      </c>
      <c r="E4" t="s">
        <v>27</v>
      </c>
      <c r="F4" s="1">
        <v>44826</v>
      </c>
      <c r="G4" t="s">
        <v>37</v>
      </c>
      <c r="H4" t="s">
        <v>38</v>
      </c>
      <c r="I4" t="s">
        <v>39</v>
      </c>
      <c r="J4">
        <v>27955.096079999999</v>
      </c>
      <c r="K4">
        <v>205</v>
      </c>
      <c r="L4" t="s">
        <v>31</v>
      </c>
      <c r="M4" s="1">
        <v>44841</v>
      </c>
      <c r="N4" t="s">
        <v>40</v>
      </c>
      <c r="O4" t="s">
        <v>24</v>
      </c>
    </row>
    <row r="5" spans="1:15" x14ac:dyDescent="0.3">
      <c r="A5" t="s">
        <v>41</v>
      </c>
      <c r="B5">
        <v>28</v>
      </c>
      <c r="C5" t="s">
        <v>35</v>
      </c>
      <c r="D5" t="s">
        <v>42</v>
      </c>
      <c r="E5" t="s">
        <v>43</v>
      </c>
      <c r="F5" s="1">
        <v>44153</v>
      </c>
      <c r="G5" t="s">
        <v>44</v>
      </c>
      <c r="H5" t="s">
        <v>45</v>
      </c>
      <c r="I5" t="s">
        <v>30</v>
      </c>
      <c r="J5">
        <v>37909.78241</v>
      </c>
      <c r="K5">
        <v>450</v>
      </c>
      <c r="L5" t="s">
        <v>46</v>
      </c>
      <c r="M5" s="1">
        <v>44183</v>
      </c>
      <c r="N5" t="s">
        <v>32</v>
      </c>
      <c r="O5" t="s">
        <v>47</v>
      </c>
    </row>
    <row r="6" spans="1:15" x14ac:dyDescent="0.3">
      <c r="A6" t="s">
        <v>48</v>
      </c>
      <c r="B6">
        <v>43</v>
      </c>
      <c r="C6" t="s">
        <v>35</v>
      </c>
      <c r="D6" t="s">
        <v>49</v>
      </c>
      <c r="E6" t="s">
        <v>18</v>
      </c>
      <c r="F6" s="1">
        <v>44823</v>
      </c>
      <c r="G6" t="s">
        <v>50</v>
      </c>
      <c r="H6" t="s">
        <v>51</v>
      </c>
      <c r="I6" t="s">
        <v>39</v>
      </c>
      <c r="J6">
        <v>14238.31781</v>
      </c>
      <c r="K6">
        <v>458</v>
      </c>
      <c r="L6" t="s">
        <v>22</v>
      </c>
      <c r="M6" s="1">
        <v>44843</v>
      </c>
      <c r="N6" t="s">
        <v>52</v>
      </c>
      <c r="O6" t="s">
        <v>47</v>
      </c>
    </row>
    <row r="7" spans="1:15" x14ac:dyDescent="0.3">
      <c r="A7" t="s">
        <v>53</v>
      </c>
      <c r="B7">
        <v>36</v>
      </c>
      <c r="C7" t="s">
        <v>16</v>
      </c>
      <c r="D7" t="s">
        <v>26</v>
      </c>
      <c r="E7" t="s">
        <v>54</v>
      </c>
      <c r="F7" s="1">
        <v>45280</v>
      </c>
      <c r="G7" t="s">
        <v>55</v>
      </c>
      <c r="H7" t="s">
        <v>56</v>
      </c>
      <c r="I7" t="s">
        <v>57</v>
      </c>
      <c r="J7">
        <v>48145.110950000002</v>
      </c>
      <c r="K7">
        <v>389</v>
      </c>
      <c r="L7" t="s">
        <v>22</v>
      </c>
      <c r="M7" s="1">
        <v>45284</v>
      </c>
      <c r="N7" t="s">
        <v>32</v>
      </c>
      <c r="O7" t="s">
        <v>24</v>
      </c>
    </row>
    <row r="8" spans="1:15" x14ac:dyDescent="0.3">
      <c r="A8" t="s">
        <v>58</v>
      </c>
      <c r="B8">
        <v>21</v>
      </c>
      <c r="C8" t="s">
        <v>35</v>
      </c>
      <c r="D8" t="s">
        <v>59</v>
      </c>
      <c r="E8" t="s">
        <v>43</v>
      </c>
      <c r="F8" s="1">
        <v>44138</v>
      </c>
      <c r="G8" t="s">
        <v>60</v>
      </c>
      <c r="H8" t="s">
        <v>61</v>
      </c>
      <c r="I8" t="s">
        <v>30</v>
      </c>
      <c r="J8">
        <v>19580.872340000002</v>
      </c>
      <c r="K8">
        <v>389</v>
      </c>
      <c r="L8" t="s">
        <v>31</v>
      </c>
      <c r="M8" s="1">
        <v>44150</v>
      </c>
      <c r="N8" t="s">
        <v>23</v>
      </c>
      <c r="O8" t="s">
        <v>33</v>
      </c>
    </row>
    <row r="9" spans="1:15" x14ac:dyDescent="0.3">
      <c r="A9" t="s">
        <v>62</v>
      </c>
      <c r="B9">
        <v>20</v>
      </c>
      <c r="C9" t="s">
        <v>35</v>
      </c>
      <c r="D9" t="s">
        <v>26</v>
      </c>
      <c r="E9" t="s">
        <v>18</v>
      </c>
      <c r="F9" s="1">
        <v>44558</v>
      </c>
      <c r="G9" t="s">
        <v>63</v>
      </c>
      <c r="H9" t="s">
        <v>64</v>
      </c>
      <c r="I9" t="s">
        <v>65</v>
      </c>
      <c r="J9">
        <v>45820.462720000003</v>
      </c>
      <c r="K9">
        <v>277</v>
      </c>
      <c r="L9" t="s">
        <v>31</v>
      </c>
      <c r="M9" s="1">
        <v>44568</v>
      </c>
      <c r="N9" t="s">
        <v>23</v>
      </c>
      <c r="O9" t="s">
        <v>33</v>
      </c>
    </row>
    <row r="10" spans="1:15" x14ac:dyDescent="0.3">
      <c r="A10" t="s">
        <v>66</v>
      </c>
      <c r="B10">
        <v>82</v>
      </c>
      <c r="C10" t="s">
        <v>16</v>
      </c>
      <c r="D10" t="s">
        <v>49</v>
      </c>
      <c r="E10" t="s">
        <v>54</v>
      </c>
      <c r="F10" s="1">
        <v>44013</v>
      </c>
      <c r="G10" t="s">
        <v>67</v>
      </c>
      <c r="H10" t="s">
        <v>68</v>
      </c>
      <c r="I10" t="s">
        <v>65</v>
      </c>
      <c r="J10">
        <v>50119.22279</v>
      </c>
      <c r="K10">
        <v>316</v>
      </c>
      <c r="L10" t="s">
        <v>46</v>
      </c>
      <c r="M10" s="1">
        <v>44026</v>
      </c>
      <c r="N10" t="s">
        <v>40</v>
      </c>
      <c r="O10" t="s">
        <v>47</v>
      </c>
    </row>
    <row r="11" spans="1:15" x14ac:dyDescent="0.3">
      <c r="A11" t="s">
        <v>69</v>
      </c>
      <c r="B11">
        <v>58</v>
      </c>
      <c r="C11" t="s">
        <v>35</v>
      </c>
      <c r="D11" t="s">
        <v>59</v>
      </c>
      <c r="E11" t="s">
        <v>18</v>
      </c>
      <c r="F11" s="1">
        <v>44339</v>
      </c>
      <c r="G11" t="s">
        <v>70</v>
      </c>
      <c r="H11" t="s">
        <v>71</v>
      </c>
      <c r="I11" t="s">
        <v>57</v>
      </c>
      <c r="J11">
        <v>19784.63106</v>
      </c>
      <c r="K11">
        <v>249</v>
      </c>
      <c r="L11" t="s">
        <v>46</v>
      </c>
      <c r="M11" s="1">
        <v>44369</v>
      </c>
      <c r="N11" t="s">
        <v>23</v>
      </c>
      <c r="O11" t="s">
        <v>33</v>
      </c>
    </row>
    <row r="12" spans="1:15" x14ac:dyDescent="0.3">
      <c r="A12" t="s">
        <v>72</v>
      </c>
      <c r="B12">
        <v>72</v>
      </c>
      <c r="C12" t="s">
        <v>16</v>
      </c>
      <c r="D12" t="s">
        <v>42</v>
      </c>
      <c r="E12" t="s">
        <v>18</v>
      </c>
      <c r="F12" s="1">
        <v>43940</v>
      </c>
      <c r="G12" t="s">
        <v>73</v>
      </c>
      <c r="H12" t="s">
        <v>74</v>
      </c>
      <c r="I12" t="s">
        <v>30</v>
      </c>
      <c r="J12">
        <v>12576.795609999999</v>
      </c>
      <c r="K12">
        <v>394</v>
      </c>
      <c r="L12" t="s">
        <v>22</v>
      </c>
      <c r="M12" s="1">
        <v>43943</v>
      </c>
      <c r="N12" t="s">
        <v>23</v>
      </c>
      <c r="O12" t="s">
        <v>24</v>
      </c>
    </row>
    <row r="13" spans="1:15" x14ac:dyDescent="0.3">
      <c r="A13" t="s">
        <v>75</v>
      </c>
      <c r="B13">
        <v>38</v>
      </c>
      <c r="C13" t="s">
        <v>35</v>
      </c>
      <c r="D13" t="s">
        <v>36</v>
      </c>
      <c r="E13" t="s">
        <v>76</v>
      </c>
      <c r="F13" s="1">
        <v>45151</v>
      </c>
      <c r="G13" t="s">
        <v>77</v>
      </c>
      <c r="H13" t="s">
        <v>78</v>
      </c>
      <c r="I13" t="s">
        <v>30</v>
      </c>
      <c r="J13">
        <v>7999.5868799999998</v>
      </c>
      <c r="K13">
        <v>288</v>
      </c>
      <c r="L13" t="s">
        <v>22</v>
      </c>
      <c r="M13" s="1">
        <v>45174</v>
      </c>
      <c r="N13" t="s">
        <v>79</v>
      </c>
      <c r="O13" t="s">
        <v>33</v>
      </c>
    </row>
    <row r="14" spans="1:15" x14ac:dyDescent="0.3">
      <c r="A14" t="s">
        <v>80</v>
      </c>
      <c r="B14">
        <v>75</v>
      </c>
      <c r="C14" t="s">
        <v>35</v>
      </c>
      <c r="D14" t="s">
        <v>26</v>
      </c>
      <c r="E14" t="s">
        <v>43</v>
      </c>
      <c r="F14" s="1">
        <v>43811</v>
      </c>
      <c r="G14" t="s">
        <v>81</v>
      </c>
      <c r="H14" t="s">
        <v>82</v>
      </c>
      <c r="I14" t="s">
        <v>65</v>
      </c>
      <c r="J14">
        <v>43282.283360000001</v>
      </c>
      <c r="K14">
        <v>134</v>
      </c>
      <c r="L14" t="s">
        <v>31</v>
      </c>
      <c r="M14" s="1">
        <v>43827</v>
      </c>
      <c r="N14" t="s">
        <v>52</v>
      </c>
      <c r="O14" t="s">
        <v>47</v>
      </c>
    </row>
    <row r="15" spans="1:15" x14ac:dyDescent="0.3">
      <c r="A15" t="s">
        <v>83</v>
      </c>
      <c r="B15">
        <v>68</v>
      </c>
      <c r="C15" t="s">
        <v>35</v>
      </c>
      <c r="D15" t="s">
        <v>49</v>
      </c>
      <c r="E15" t="s">
        <v>54</v>
      </c>
      <c r="F15" s="1">
        <v>43973</v>
      </c>
      <c r="G15" t="s">
        <v>84</v>
      </c>
      <c r="H15" t="s">
        <v>85</v>
      </c>
      <c r="I15" t="s">
        <v>57</v>
      </c>
      <c r="J15">
        <v>33207.706630000001</v>
      </c>
      <c r="K15">
        <v>309</v>
      </c>
      <c r="L15" t="s">
        <v>22</v>
      </c>
      <c r="M15" s="1">
        <v>44001</v>
      </c>
      <c r="N15" t="s">
        <v>79</v>
      </c>
      <c r="O15" t="s">
        <v>24</v>
      </c>
    </row>
    <row r="16" spans="1:15" x14ac:dyDescent="0.3">
      <c r="A16" t="s">
        <v>86</v>
      </c>
      <c r="B16">
        <v>44</v>
      </c>
      <c r="C16" t="s">
        <v>35</v>
      </c>
      <c r="D16" t="s">
        <v>49</v>
      </c>
      <c r="E16" t="s">
        <v>18</v>
      </c>
      <c r="F16" s="1">
        <v>44477</v>
      </c>
      <c r="G16" t="s">
        <v>87</v>
      </c>
      <c r="H16" t="s">
        <v>88</v>
      </c>
      <c r="I16" t="s">
        <v>57</v>
      </c>
      <c r="J16">
        <v>40701.59923</v>
      </c>
      <c r="K16">
        <v>182</v>
      </c>
      <c r="L16" t="s">
        <v>22</v>
      </c>
      <c r="M16" s="1">
        <v>44482</v>
      </c>
      <c r="N16" t="s">
        <v>23</v>
      </c>
      <c r="O16" t="s">
        <v>24</v>
      </c>
    </row>
    <row r="17" spans="1:15" x14ac:dyDescent="0.3">
      <c r="A17" t="s">
        <v>89</v>
      </c>
      <c r="B17">
        <v>46</v>
      </c>
      <c r="C17" t="s">
        <v>35</v>
      </c>
      <c r="D17" t="s">
        <v>59</v>
      </c>
      <c r="E17" t="s">
        <v>27</v>
      </c>
      <c r="F17" s="1">
        <v>44927</v>
      </c>
      <c r="G17" t="s">
        <v>90</v>
      </c>
      <c r="H17" t="s">
        <v>91</v>
      </c>
      <c r="I17" t="s">
        <v>21</v>
      </c>
      <c r="J17">
        <v>12263.35743</v>
      </c>
      <c r="K17">
        <v>465</v>
      </c>
      <c r="L17" t="s">
        <v>46</v>
      </c>
      <c r="M17" s="1">
        <v>44937</v>
      </c>
      <c r="N17" t="s">
        <v>40</v>
      </c>
      <c r="O17" t="s">
        <v>33</v>
      </c>
    </row>
    <row r="18" spans="1:15" x14ac:dyDescent="0.3">
      <c r="A18" t="s">
        <v>92</v>
      </c>
      <c r="B18">
        <v>63</v>
      </c>
      <c r="C18" t="s">
        <v>35</v>
      </c>
      <c r="D18" t="s">
        <v>26</v>
      </c>
      <c r="E18" t="s">
        <v>93</v>
      </c>
      <c r="F18" s="1">
        <v>44005</v>
      </c>
      <c r="G18" t="s">
        <v>94</v>
      </c>
      <c r="H18" t="s">
        <v>95</v>
      </c>
      <c r="I18" t="s">
        <v>57</v>
      </c>
      <c r="J18">
        <v>24499.847900000001</v>
      </c>
      <c r="K18">
        <v>114</v>
      </c>
      <c r="L18" t="s">
        <v>46</v>
      </c>
      <c r="M18" s="1">
        <v>44026</v>
      </c>
      <c r="N18" t="s">
        <v>23</v>
      </c>
      <c r="O18" t="s">
        <v>24</v>
      </c>
    </row>
    <row r="19" spans="1:15" x14ac:dyDescent="0.3">
      <c r="A19" t="s">
        <v>96</v>
      </c>
      <c r="B19">
        <v>38</v>
      </c>
      <c r="C19" t="s">
        <v>16</v>
      </c>
      <c r="D19" t="s">
        <v>59</v>
      </c>
      <c r="E19" t="s">
        <v>27</v>
      </c>
      <c r="F19" s="1">
        <v>43898</v>
      </c>
      <c r="G19" t="s">
        <v>97</v>
      </c>
      <c r="H19" t="s">
        <v>98</v>
      </c>
      <c r="I19" t="s">
        <v>65</v>
      </c>
      <c r="J19">
        <v>17440.46544</v>
      </c>
      <c r="K19">
        <v>449</v>
      </c>
      <c r="L19" t="s">
        <v>22</v>
      </c>
      <c r="M19" s="1">
        <v>43923</v>
      </c>
      <c r="N19" t="s">
        <v>23</v>
      </c>
      <c r="O19" t="s">
        <v>47</v>
      </c>
    </row>
    <row r="20" spans="1:15" x14ac:dyDescent="0.3">
      <c r="A20" t="s">
        <v>99</v>
      </c>
      <c r="B20">
        <v>34</v>
      </c>
      <c r="C20" t="s">
        <v>35</v>
      </c>
      <c r="D20" t="s">
        <v>36</v>
      </c>
      <c r="E20" t="s">
        <v>76</v>
      </c>
      <c r="F20" s="1">
        <v>44259</v>
      </c>
      <c r="G20" t="s">
        <v>100</v>
      </c>
      <c r="H20" t="s">
        <v>101</v>
      </c>
      <c r="I20" t="s">
        <v>21</v>
      </c>
      <c r="J20">
        <v>18843.023020000001</v>
      </c>
      <c r="K20">
        <v>260</v>
      </c>
      <c r="L20" t="s">
        <v>46</v>
      </c>
      <c r="M20" s="1">
        <v>44269</v>
      </c>
      <c r="N20" t="s">
        <v>40</v>
      </c>
      <c r="O20" t="s">
        <v>47</v>
      </c>
    </row>
    <row r="21" spans="1:15" x14ac:dyDescent="0.3">
      <c r="A21" t="s">
        <v>102</v>
      </c>
      <c r="B21">
        <v>63</v>
      </c>
      <c r="C21" t="s">
        <v>16</v>
      </c>
      <c r="D21" t="s">
        <v>103</v>
      </c>
      <c r="E21" t="s">
        <v>54</v>
      </c>
      <c r="F21" s="1">
        <v>44880</v>
      </c>
      <c r="G21" t="s">
        <v>104</v>
      </c>
      <c r="H21" t="s">
        <v>105</v>
      </c>
      <c r="I21" t="s">
        <v>65</v>
      </c>
      <c r="J21">
        <v>23762.203580000001</v>
      </c>
      <c r="K21">
        <v>465</v>
      </c>
      <c r="L21" t="s">
        <v>46</v>
      </c>
      <c r="M21" s="1">
        <v>44887</v>
      </c>
      <c r="N21" t="s">
        <v>52</v>
      </c>
      <c r="O21" t="s">
        <v>24</v>
      </c>
    </row>
    <row r="22" spans="1:15" x14ac:dyDescent="0.3">
      <c r="A22" t="s">
        <v>106</v>
      </c>
      <c r="B22">
        <v>67</v>
      </c>
      <c r="C22" t="s">
        <v>35</v>
      </c>
      <c r="D22" t="s">
        <v>36</v>
      </c>
      <c r="E22" t="s">
        <v>54</v>
      </c>
      <c r="F22" s="1">
        <v>45105</v>
      </c>
      <c r="G22" t="s">
        <v>107</v>
      </c>
      <c r="H22" t="s">
        <v>108</v>
      </c>
      <c r="I22" t="s">
        <v>21</v>
      </c>
      <c r="J22">
        <v>42.514588549999999</v>
      </c>
      <c r="K22">
        <v>115</v>
      </c>
      <c r="L22" t="s">
        <v>46</v>
      </c>
      <c r="M22" s="1">
        <v>45109</v>
      </c>
      <c r="N22" t="s">
        <v>40</v>
      </c>
      <c r="O22" t="s">
        <v>24</v>
      </c>
    </row>
    <row r="23" spans="1:15" x14ac:dyDescent="0.3">
      <c r="A23" t="s">
        <v>109</v>
      </c>
      <c r="B23">
        <v>48</v>
      </c>
      <c r="C23" t="s">
        <v>16</v>
      </c>
      <c r="D23" t="s">
        <v>103</v>
      </c>
      <c r="E23" t="s">
        <v>54</v>
      </c>
      <c r="F23" s="1">
        <v>43851</v>
      </c>
      <c r="G23" t="s">
        <v>110</v>
      </c>
      <c r="H23" t="s">
        <v>111</v>
      </c>
      <c r="I23" t="s">
        <v>39</v>
      </c>
      <c r="J23">
        <v>17695.911619999999</v>
      </c>
      <c r="K23">
        <v>295</v>
      </c>
      <c r="L23" t="s">
        <v>22</v>
      </c>
      <c r="M23" s="1">
        <v>43870</v>
      </c>
      <c r="N23" t="s">
        <v>79</v>
      </c>
      <c r="O23" t="s">
        <v>24</v>
      </c>
    </row>
    <row r="24" spans="1:15" x14ac:dyDescent="0.3">
      <c r="A24" t="s">
        <v>112</v>
      </c>
      <c r="B24">
        <v>58</v>
      </c>
      <c r="C24" t="s">
        <v>35</v>
      </c>
      <c r="D24" t="s">
        <v>42</v>
      </c>
      <c r="E24" t="s">
        <v>93</v>
      </c>
      <c r="F24" s="1">
        <v>44693</v>
      </c>
      <c r="G24" t="s">
        <v>113</v>
      </c>
      <c r="H24" t="s">
        <v>114</v>
      </c>
      <c r="I24" t="s">
        <v>39</v>
      </c>
      <c r="J24">
        <v>5998.1029079999998</v>
      </c>
      <c r="K24">
        <v>327</v>
      </c>
      <c r="L24" t="s">
        <v>22</v>
      </c>
      <c r="M24" s="1">
        <v>44722</v>
      </c>
      <c r="N24" t="s">
        <v>79</v>
      </c>
      <c r="O24" t="s">
        <v>33</v>
      </c>
    </row>
    <row r="25" spans="1:15" x14ac:dyDescent="0.3">
      <c r="A25" t="s">
        <v>115</v>
      </c>
      <c r="B25">
        <v>59</v>
      </c>
      <c r="C25" t="s">
        <v>16</v>
      </c>
      <c r="D25" t="s">
        <v>26</v>
      </c>
      <c r="E25" t="s">
        <v>54</v>
      </c>
      <c r="F25" s="1">
        <v>44410</v>
      </c>
      <c r="G25" t="s">
        <v>116</v>
      </c>
      <c r="H25" t="s">
        <v>117</v>
      </c>
      <c r="I25" t="s">
        <v>39</v>
      </c>
      <c r="J25">
        <v>25250.05243</v>
      </c>
      <c r="K25">
        <v>119</v>
      </c>
      <c r="L25" t="s">
        <v>22</v>
      </c>
      <c r="M25" s="1">
        <v>44420</v>
      </c>
      <c r="N25" t="s">
        <v>79</v>
      </c>
      <c r="O25" t="s">
        <v>33</v>
      </c>
    </row>
    <row r="26" spans="1:15" x14ac:dyDescent="0.3">
      <c r="A26" t="s">
        <v>118</v>
      </c>
      <c r="B26">
        <v>72</v>
      </c>
      <c r="C26" t="s">
        <v>35</v>
      </c>
      <c r="D26" t="s">
        <v>49</v>
      </c>
      <c r="E26" t="s">
        <v>76</v>
      </c>
      <c r="F26" s="1">
        <v>43966</v>
      </c>
      <c r="G26" t="s">
        <v>119</v>
      </c>
      <c r="H26" t="s">
        <v>120</v>
      </c>
      <c r="I26" t="s">
        <v>30</v>
      </c>
      <c r="J26">
        <v>33211.295420000002</v>
      </c>
      <c r="K26">
        <v>109</v>
      </c>
      <c r="L26" t="s">
        <v>31</v>
      </c>
      <c r="M26" s="1">
        <v>43990</v>
      </c>
      <c r="N26" t="s">
        <v>23</v>
      </c>
      <c r="O26" t="s">
        <v>33</v>
      </c>
    </row>
    <row r="27" spans="1:15" x14ac:dyDescent="0.3">
      <c r="A27" t="s">
        <v>121</v>
      </c>
      <c r="B27">
        <v>73</v>
      </c>
      <c r="C27" t="s">
        <v>16</v>
      </c>
      <c r="D27" t="s">
        <v>49</v>
      </c>
      <c r="E27" t="s">
        <v>27</v>
      </c>
      <c r="F27" s="1">
        <v>43966</v>
      </c>
      <c r="G27" t="s">
        <v>122</v>
      </c>
      <c r="H27" t="s">
        <v>123</v>
      </c>
      <c r="I27" t="s">
        <v>30</v>
      </c>
      <c r="J27">
        <v>19746.832009999998</v>
      </c>
      <c r="K27">
        <v>162</v>
      </c>
      <c r="L27" t="s">
        <v>22</v>
      </c>
      <c r="M27" s="1">
        <v>43971</v>
      </c>
      <c r="N27" t="s">
        <v>40</v>
      </c>
      <c r="O27" t="s">
        <v>47</v>
      </c>
    </row>
    <row r="28" spans="1:15" x14ac:dyDescent="0.3">
      <c r="A28" t="s">
        <v>124</v>
      </c>
      <c r="B28">
        <v>51</v>
      </c>
      <c r="C28" t="s">
        <v>35</v>
      </c>
      <c r="D28" t="s">
        <v>125</v>
      </c>
      <c r="E28" t="s">
        <v>54</v>
      </c>
      <c r="F28" s="1">
        <v>45283</v>
      </c>
      <c r="G28" t="s">
        <v>126</v>
      </c>
      <c r="H28" t="s">
        <v>127</v>
      </c>
      <c r="I28" t="s">
        <v>21</v>
      </c>
      <c r="J28">
        <v>26786.529559999999</v>
      </c>
      <c r="K28">
        <v>401</v>
      </c>
      <c r="L28" t="s">
        <v>46</v>
      </c>
      <c r="M28" s="1">
        <v>45310</v>
      </c>
      <c r="N28" t="s">
        <v>32</v>
      </c>
      <c r="O28" t="s">
        <v>24</v>
      </c>
    </row>
    <row r="29" spans="1:15" x14ac:dyDescent="0.3">
      <c r="A29" t="s">
        <v>128</v>
      </c>
      <c r="B29">
        <v>34</v>
      </c>
      <c r="C29" t="s">
        <v>35</v>
      </c>
      <c r="D29" t="s">
        <v>26</v>
      </c>
      <c r="E29" t="s">
        <v>43</v>
      </c>
      <c r="F29" s="1">
        <v>44733</v>
      </c>
      <c r="G29" t="s">
        <v>129</v>
      </c>
      <c r="H29" t="s">
        <v>130</v>
      </c>
      <c r="I29" t="s">
        <v>57</v>
      </c>
      <c r="J29">
        <v>18834.801340000002</v>
      </c>
      <c r="K29">
        <v>157</v>
      </c>
      <c r="L29" t="s">
        <v>31</v>
      </c>
      <c r="M29" s="1">
        <v>44742</v>
      </c>
      <c r="N29" t="s">
        <v>79</v>
      </c>
      <c r="O29" t="s">
        <v>47</v>
      </c>
    </row>
    <row r="30" spans="1:15" x14ac:dyDescent="0.3">
      <c r="A30" t="s">
        <v>131</v>
      </c>
      <c r="B30">
        <v>38</v>
      </c>
      <c r="C30" t="s">
        <v>35</v>
      </c>
      <c r="D30" t="s">
        <v>125</v>
      </c>
      <c r="E30" t="s">
        <v>76</v>
      </c>
      <c r="F30" s="1">
        <v>44199</v>
      </c>
      <c r="G30" t="s">
        <v>132</v>
      </c>
      <c r="H30" t="s">
        <v>133</v>
      </c>
      <c r="I30" t="s">
        <v>65</v>
      </c>
      <c r="J30">
        <v>32643.299350000001</v>
      </c>
      <c r="K30">
        <v>223</v>
      </c>
      <c r="L30" t="s">
        <v>31</v>
      </c>
      <c r="M30" s="1">
        <v>44212</v>
      </c>
      <c r="N30" t="s">
        <v>52</v>
      </c>
      <c r="O30" t="s">
        <v>24</v>
      </c>
    </row>
    <row r="31" spans="1:15" x14ac:dyDescent="0.3">
      <c r="A31" t="s">
        <v>134</v>
      </c>
      <c r="B31">
        <v>63</v>
      </c>
      <c r="C31" t="s">
        <v>35</v>
      </c>
      <c r="D31" t="s">
        <v>103</v>
      </c>
      <c r="E31" t="s">
        <v>76</v>
      </c>
      <c r="F31" s="1">
        <v>45202</v>
      </c>
      <c r="G31" t="s">
        <v>135</v>
      </c>
      <c r="H31" t="s">
        <v>136</v>
      </c>
      <c r="I31" t="s">
        <v>39</v>
      </c>
      <c r="J31">
        <v>5767.0110539999996</v>
      </c>
      <c r="K31">
        <v>293</v>
      </c>
      <c r="L31" t="s">
        <v>46</v>
      </c>
      <c r="M31" s="1">
        <v>45211</v>
      </c>
      <c r="N31" t="s">
        <v>23</v>
      </c>
      <c r="O31" t="s">
        <v>47</v>
      </c>
    </row>
    <row r="32" spans="1:15" x14ac:dyDescent="0.3">
      <c r="A32" t="s">
        <v>137</v>
      </c>
      <c r="B32">
        <v>34</v>
      </c>
      <c r="C32" t="s">
        <v>16</v>
      </c>
      <c r="D32" t="s">
        <v>17</v>
      </c>
      <c r="E32" t="s">
        <v>54</v>
      </c>
      <c r="F32" s="1">
        <v>43695</v>
      </c>
      <c r="G32" t="s">
        <v>138</v>
      </c>
      <c r="H32" t="s">
        <v>139</v>
      </c>
      <c r="I32" t="s">
        <v>65</v>
      </c>
      <c r="J32">
        <v>47909.128810000002</v>
      </c>
      <c r="K32">
        <v>371</v>
      </c>
      <c r="L32" t="s">
        <v>22</v>
      </c>
      <c r="M32" s="1">
        <v>43709</v>
      </c>
      <c r="N32" t="s">
        <v>32</v>
      </c>
      <c r="O32" t="s">
        <v>33</v>
      </c>
    </row>
    <row r="33" spans="1:15" x14ac:dyDescent="0.3">
      <c r="A33" t="s">
        <v>140</v>
      </c>
      <c r="B33">
        <v>23</v>
      </c>
      <c r="C33" t="s">
        <v>35</v>
      </c>
      <c r="D33" t="s">
        <v>26</v>
      </c>
      <c r="E33" t="s">
        <v>93</v>
      </c>
      <c r="F33" s="1">
        <v>43772</v>
      </c>
      <c r="G33" t="s">
        <v>141</v>
      </c>
      <c r="H33" t="s">
        <v>142</v>
      </c>
      <c r="I33" t="s">
        <v>57</v>
      </c>
      <c r="J33">
        <v>25835.32359</v>
      </c>
      <c r="K33">
        <v>108</v>
      </c>
      <c r="L33" t="s">
        <v>22</v>
      </c>
      <c r="M33" s="1">
        <v>43798</v>
      </c>
      <c r="N33" t="s">
        <v>52</v>
      </c>
      <c r="O33" t="s">
        <v>47</v>
      </c>
    </row>
    <row r="34" spans="1:15" x14ac:dyDescent="0.3">
      <c r="A34" t="s">
        <v>143</v>
      </c>
      <c r="B34">
        <v>78</v>
      </c>
      <c r="C34" t="s">
        <v>16</v>
      </c>
      <c r="D34" t="s">
        <v>59</v>
      </c>
      <c r="E34" t="s">
        <v>93</v>
      </c>
      <c r="F34" s="1">
        <v>45064</v>
      </c>
      <c r="G34" t="s">
        <v>144</v>
      </c>
      <c r="H34" t="s">
        <v>145</v>
      </c>
      <c r="I34" t="s">
        <v>30</v>
      </c>
      <c r="J34">
        <v>17993.226200000001</v>
      </c>
      <c r="K34">
        <v>245</v>
      </c>
      <c r="L34" t="s">
        <v>46</v>
      </c>
      <c r="M34" s="1">
        <v>45092</v>
      </c>
      <c r="N34" t="s">
        <v>52</v>
      </c>
      <c r="O34" t="s">
        <v>24</v>
      </c>
    </row>
    <row r="35" spans="1:15" x14ac:dyDescent="0.3">
      <c r="A35" t="s">
        <v>146</v>
      </c>
      <c r="B35">
        <v>43</v>
      </c>
      <c r="C35" t="s">
        <v>16</v>
      </c>
      <c r="D35" t="s">
        <v>59</v>
      </c>
      <c r="E35" t="s">
        <v>18</v>
      </c>
      <c r="F35" s="1">
        <v>45070</v>
      </c>
      <c r="G35" t="s">
        <v>147</v>
      </c>
      <c r="H35" t="s">
        <v>148</v>
      </c>
      <c r="I35" t="s">
        <v>30</v>
      </c>
      <c r="J35">
        <v>21185.953529999999</v>
      </c>
      <c r="K35">
        <v>494</v>
      </c>
      <c r="L35" t="s">
        <v>46</v>
      </c>
      <c r="M35" s="1">
        <v>45080</v>
      </c>
      <c r="N35" t="s">
        <v>32</v>
      </c>
      <c r="O35" t="s">
        <v>24</v>
      </c>
    </row>
    <row r="36" spans="1:15" x14ac:dyDescent="0.3">
      <c r="A36" t="s">
        <v>149</v>
      </c>
      <c r="B36">
        <v>30</v>
      </c>
      <c r="C36" t="s">
        <v>35</v>
      </c>
      <c r="D36" t="s">
        <v>49</v>
      </c>
      <c r="E36" t="s">
        <v>43</v>
      </c>
      <c r="F36" s="1">
        <v>43847</v>
      </c>
      <c r="G36" t="s">
        <v>150</v>
      </c>
      <c r="H36" t="s">
        <v>151</v>
      </c>
      <c r="I36" t="s">
        <v>21</v>
      </c>
      <c r="J36">
        <v>8408.9493540000003</v>
      </c>
      <c r="K36">
        <v>285</v>
      </c>
      <c r="L36" t="s">
        <v>31</v>
      </c>
      <c r="M36" s="1">
        <v>43871</v>
      </c>
      <c r="N36" t="s">
        <v>79</v>
      </c>
      <c r="O36" t="s">
        <v>24</v>
      </c>
    </row>
    <row r="37" spans="1:15" x14ac:dyDescent="0.3">
      <c r="A37" t="s">
        <v>152</v>
      </c>
      <c r="B37">
        <v>25</v>
      </c>
      <c r="C37" t="s">
        <v>35</v>
      </c>
      <c r="D37" t="s">
        <v>49</v>
      </c>
      <c r="E37" t="s">
        <v>54</v>
      </c>
      <c r="F37" s="1">
        <v>44203</v>
      </c>
      <c r="G37" t="s">
        <v>153</v>
      </c>
      <c r="H37" t="s">
        <v>154</v>
      </c>
      <c r="I37" t="s">
        <v>30</v>
      </c>
      <c r="J37">
        <v>45453.418550000002</v>
      </c>
      <c r="K37">
        <v>228</v>
      </c>
      <c r="L37" t="s">
        <v>46</v>
      </c>
      <c r="M37" s="1">
        <v>44222</v>
      </c>
      <c r="N37" t="s">
        <v>79</v>
      </c>
      <c r="O37" t="s">
        <v>47</v>
      </c>
    </row>
    <row r="38" spans="1:15" x14ac:dyDescent="0.3">
      <c r="A38" t="s">
        <v>155</v>
      </c>
      <c r="B38">
        <v>33</v>
      </c>
      <c r="C38" t="s">
        <v>16</v>
      </c>
      <c r="D38" t="s">
        <v>49</v>
      </c>
      <c r="E38" t="s">
        <v>43</v>
      </c>
      <c r="F38" s="1">
        <v>43752</v>
      </c>
      <c r="G38" t="s">
        <v>156</v>
      </c>
      <c r="H38" t="s">
        <v>157</v>
      </c>
      <c r="I38" t="s">
        <v>39</v>
      </c>
      <c r="J38">
        <v>4397.7769950000002</v>
      </c>
      <c r="K38">
        <v>481</v>
      </c>
      <c r="L38" t="s">
        <v>22</v>
      </c>
      <c r="M38" s="1">
        <v>43757</v>
      </c>
      <c r="N38" t="s">
        <v>23</v>
      </c>
      <c r="O38" t="s">
        <v>33</v>
      </c>
    </row>
    <row r="39" spans="1:15" x14ac:dyDescent="0.3">
      <c r="A39" t="s">
        <v>158</v>
      </c>
      <c r="B39">
        <v>26</v>
      </c>
      <c r="C39" t="s">
        <v>35</v>
      </c>
      <c r="D39" t="s">
        <v>17</v>
      </c>
      <c r="E39" t="s">
        <v>76</v>
      </c>
      <c r="F39" s="1">
        <v>44549</v>
      </c>
      <c r="G39" t="s">
        <v>159</v>
      </c>
      <c r="H39" t="s">
        <v>160</v>
      </c>
      <c r="I39" t="s">
        <v>39</v>
      </c>
      <c r="J39">
        <v>9380.3259679999992</v>
      </c>
      <c r="K39">
        <v>212</v>
      </c>
      <c r="L39" t="s">
        <v>22</v>
      </c>
      <c r="M39" s="1">
        <v>44577</v>
      </c>
      <c r="N39" t="s">
        <v>32</v>
      </c>
      <c r="O39" t="s">
        <v>24</v>
      </c>
    </row>
    <row r="40" spans="1:15" x14ac:dyDescent="0.3">
      <c r="A40" t="s">
        <v>161</v>
      </c>
      <c r="B40">
        <v>70</v>
      </c>
      <c r="C40" t="s">
        <v>35</v>
      </c>
      <c r="D40" t="s">
        <v>125</v>
      </c>
      <c r="E40" t="s">
        <v>43</v>
      </c>
      <c r="F40" s="1">
        <v>44632</v>
      </c>
      <c r="G40" t="s">
        <v>162</v>
      </c>
      <c r="H40" t="s">
        <v>163</v>
      </c>
      <c r="I40" t="s">
        <v>65</v>
      </c>
      <c r="J40">
        <v>48290.69341</v>
      </c>
      <c r="K40">
        <v>113</v>
      </c>
      <c r="L40" t="s">
        <v>31</v>
      </c>
      <c r="M40" s="1">
        <v>44649</v>
      </c>
      <c r="N40" t="s">
        <v>79</v>
      </c>
      <c r="O40" t="s">
        <v>47</v>
      </c>
    </row>
    <row r="41" spans="1:15" x14ac:dyDescent="0.3">
      <c r="A41" t="s">
        <v>164</v>
      </c>
      <c r="B41">
        <v>57</v>
      </c>
      <c r="C41" t="s">
        <v>35</v>
      </c>
      <c r="D41" t="s">
        <v>17</v>
      </c>
      <c r="E41" t="s">
        <v>27</v>
      </c>
      <c r="F41" s="1">
        <v>44213</v>
      </c>
      <c r="G41" t="s">
        <v>165</v>
      </c>
      <c r="H41" t="s">
        <v>166</v>
      </c>
      <c r="I41" t="s">
        <v>30</v>
      </c>
      <c r="J41">
        <v>32973.94083</v>
      </c>
      <c r="K41">
        <v>272</v>
      </c>
      <c r="L41" t="s">
        <v>22</v>
      </c>
      <c r="M41" s="1">
        <v>44225</v>
      </c>
      <c r="N41" t="s">
        <v>52</v>
      </c>
      <c r="O41" t="s">
        <v>47</v>
      </c>
    </row>
    <row r="42" spans="1:15" x14ac:dyDescent="0.3">
      <c r="A42" t="s">
        <v>167</v>
      </c>
      <c r="B42">
        <v>74</v>
      </c>
      <c r="C42" t="s">
        <v>35</v>
      </c>
      <c r="D42" t="s">
        <v>17</v>
      </c>
      <c r="E42" t="s">
        <v>76</v>
      </c>
      <c r="F42" s="1">
        <v>44454</v>
      </c>
      <c r="G42" t="s">
        <v>168</v>
      </c>
      <c r="H42" t="s">
        <v>169</v>
      </c>
      <c r="I42" t="s">
        <v>65</v>
      </c>
      <c r="J42">
        <v>49943.2785</v>
      </c>
      <c r="K42">
        <v>478</v>
      </c>
      <c r="L42" t="s">
        <v>31</v>
      </c>
      <c r="M42" s="1">
        <v>44474</v>
      </c>
      <c r="N42" t="s">
        <v>79</v>
      </c>
      <c r="O42" t="s">
        <v>24</v>
      </c>
    </row>
    <row r="43" spans="1:15" x14ac:dyDescent="0.3">
      <c r="A43" t="s">
        <v>170</v>
      </c>
      <c r="B43">
        <v>81</v>
      </c>
      <c r="C43" t="s">
        <v>16</v>
      </c>
      <c r="D43" t="s">
        <v>26</v>
      </c>
      <c r="E43" t="s">
        <v>76</v>
      </c>
      <c r="F43" s="1">
        <v>43857</v>
      </c>
      <c r="G43" t="s">
        <v>171</v>
      </c>
      <c r="H43" t="s">
        <v>172</v>
      </c>
      <c r="I43" t="s">
        <v>65</v>
      </c>
      <c r="J43">
        <v>35633.955450000001</v>
      </c>
      <c r="K43">
        <v>196</v>
      </c>
      <c r="L43" t="s">
        <v>22</v>
      </c>
      <c r="M43" s="1">
        <v>43870</v>
      </c>
      <c r="N43" t="s">
        <v>40</v>
      </c>
      <c r="O43" t="s">
        <v>24</v>
      </c>
    </row>
    <row r="44" spans="1:15" x14ac:dyDescent="0.3">
      <c r="A44" t="s">
        <v>173</v>
      </c>
      <c r="B44">
        <v>49</v>
      </c>
      <c r="C44" t="s">
        <v>35</v>
      </c>
      <c r="D44" t="s">
        <v>36</v>
      </c>
      <c r="E44" t="s">
        <v>54</v>
      </c>
      <c r="F44" s="1">
        <v>44736</v>
      </c>
      <c r="G44" t="s">
        <v>174</v>
      </c>
      <c r="H44" t="s">
        <v>175</v>
      </c>
      <c r="I44" t="s">
        <v>65</v>
      </c>
      <c r="J44">
        <v>25966.32861</v>
      </c>
      <c r="K44">
        <v>418</v>
      </c>
      <c r="L44" t="s">
        <v>46</v>
      </c>
      <c r="M44" s="1">
        <v>44760</v>
      </c>
      <c r="N44" t="s">
        <v>23</v>
      </c>
      <c r="O44" t="s">
        <v>24</v>
      </c>
    </row>
    <row r="45" spans="1:15" x14ac:dyDescent="0.3">
      <c r="A45" t="s">
        <v>176</v>
      </c>
      <c r="B45">
        <v>26</v>
      </c>
      <c r="C45" t="s">
        <v>35</v>
      </c>
      <c r="D45" t="s">
        <v>49</v>
      </c>
      <c r="E45" t="s">
        <v>27</v>
      </c>
      <c r="F45" s="1">
        <v>44356</v>
      </c>
      <c r="G45" t="s">
        <v>177</v>
      </c>
      <c r="H45" t="s">
        <v>178</v>
      </c>
      <c r="I45" t="s">
        <v>57</v>
      </c>
      <c r="J45">
        <v>21784.445070000002</v>
      </c>
      <c r="K45">
        <v>410</v>
      </c>
      <c r="L45" t="s">
        <v>22</v>
      </c>
      <c r="M45" s="1">
        <v>44378</v>
      </c>
      <c r="N45" t="s">
        <v>23</v>
      </c>
      <c r="O45" t="s">
        <v>24</v>
      </c>
    </row>
    <row r="46" spans="1:15" x14ac:dyDescent="0.3">
      <c r="A46" t="s">
        <v>179</v>
      </c>
      <c r="B46">
        <v>81</v>
      </c>
      <c r="C46" t="s">
        <v>35</v>
      </c>
      <c r="D46" t="s">
        <v>59</v>
      </c>
      <c r="E46" t="s">
        <v>18</v>
      </c>
      <c r="F46" s="1">
        <v>44066</v>
      </c>
      <c r="G46" t="s">
        <v>180</v>
      </c>
      <c r="H46" t="s">
        <v>181</v>
      </c>
      <c r="I46" t="s">
        <v>30</v>
      </c>
      <c r="J46">
        <v>42684.558879999997</v>
      </c>
      <c r="K46">
        <v>328</v>
      </c>
      <c r="L46" t="s">
        <v>22</v>
      </c>
      <c r="M46" s="1">
        <v>44082</v>
      </c>
      <c r="N46" t="s">
        <v>52</v>
      </c>
      <c r="O46" t="s">
        <v>47</v>
      </c>
    </row>
    <row r="47" spans="1:15" x14ac:dyDescent="0.3">
      <c r="A47" t="s">
        <v>182</v>
      </c>
      <c r="B47">
        <v>65</v>
      </c>
      <c r="C47" t="s">
        <v>16</v>
      </c>
      <c r="D47" t="s">
        <v>42</v>
      </c>
      <c r="E47" t="s">
        <v>18</v>
      </c>
      <c r="F47" s="1">
        <v>44846</v>
      </c>
      <c r="G47" t="s">
        <v>183</v>
      </c>
      <c r="H47" t="s">
        <v>184</v>
      </c>
      <c r="I47" t="s">
        <v>30</v>
      </c>
      <c r="J47">
        <v>45585.886559999999</v>
      </c>
      <c r="K47">
        <v>300</v>
      </c>
      <c r="L47" t="s">
        <v>31</v>
      </c>
      <c r="M47" s="1">
        <v>44867</v>
      </c>
      <c r="N47" t="s">
        <v>52</v>
      </c>
      <c r="O47" t="s">
        <v>24</v>
      </c>
    </row>
    <row r="48" spans="1:15" x14ac:dyDescent="0.3">
      <c r="A48" t="s">
        <v>185</v>
      </c>
      <c r="B48">
        <v>31</v>
      </c>
      <c r="C48" t="s">
        <v>35</v>
      </c>
      <c r="D48" t="s">
        <v>42</v>
      </c>
      <c r="E48" t="s">
        <v>76</v>
      </c>
      <c r="F48" s="1">
        <v>44531</v>
      </c>
      <c r="G48" t="s">
        <v>186</v>
      </c>
      <c r="H48" t="s">
        <v>187</v>
      </c>
      <c r="I48" t="s">
        <v>65</v>
      </c>
      <c r="J48">
        <v>29615.441859999999</v>
      </c>
      <c r="K48">
        <v>211</v>
      </c>
      <c r="L48" t="s">
        <v>46</v>
      </c>
      <c r="M48" s="1">
        <v>44539</v>
      </c>
      <c r="N48" t="s">
        <v>23</v>
      </c>
      <c r="O48" t="s">
        <v>24</v>
      </c>
    </row>
    <row r="49" spans="1:15" x14ac:dyDescent="0.3">
      <c r="A49" t="s">
        <v>188</v>
      </c>
      <c r="B49">
        <v>58</v>
      </c>
      <c r="C49" t="s">
        <v>16</v>
      </c>
      <c r="D49" t="s">
        <v>36</v>
      </c>
      <c r="E49" t="s">
        <v>43</v>
      </c>
      <c r="F49" s="1">
        <v>43955</v>
      </c>
      <c r="G49" t="s">
        <v>189</v>
      </c>
      <c r="H49" t="s">
        <v>190</v>
      </c>
      <c r="I49" t="s">
        <v>65</v>
      </c>
      <c r="J49">
        <v>36992.273690000002</v>
      </c>
      <c r="K49">
        <v>413</v>
      </c>
      <c r="L49" t="s">
        <v>22</v>
      </c>
      <c r="M49" s="1">
        <v>43964</v>
      </c>
      <c r="N49" t="s">
        <v>40</v>
      </c>
      <c r="O49" t="s">
        <v>24</v>
      </c>
    </row>
    <row r="50" spans="1:15" x14ac:dyDescent="0.3">
      <c r="A50" t="s">
        <v>191</v>
      </c>
      <c r="B50">
        <v>22</v>
      </c>
      <c r="C50" t="s">
        <v>16</v>
      </c>
      <c r="D50" t="s">
        <v>42</v>
      </c>
      <c r="E50" t="s">
        <v>76</v>
      </c>
      <c r="F50" s="1">
        <v>45178</v>
      </c>
      <c r="G50" t="s">
        <v>192</v>
      </c>
      <c r="H50" t="s">
        <v>193</v>
      </c>
      <c r="I50" t="s">
        <v>57</v>
      </c>
      <c r="J50">
        <v>28051.499479999999</v>
      </c>
      <c r="K50">
        <v>157</v>
      </c>
      <c r="L50" t="s">
        <v>22</v>
      </c>
      <c r="M50" s="1">
        <v>45192</v>
      </c>
      <c r="N50" t="s">
        <v>32</v>
      </c>
      <c r="O50" t="s">
        <v>47</v>
      </c>
    </row>
    <row r="51" spans="1:15" x14ac:dyDescent="0.3">
      <c r="A51" t="s">
        <v>194</v>
      </c>
      <c r="B51">
        <v>77</v>
      </c>
      <c r="C51" t="s">
        <v>35</v>
      </c>
      <c r="D51" t="s">
        <v>42</v>
      </c>
      <c r="E51" t="s">
        <v>54</v>
      </c>
      <c r="F51" s="1">
        <v>43665</v>
      </c>
      <c r="G51" t="s">
        <v>195</v>
      </c>
      <c r="H51" t="s">
        <v>196</v>
      </c>
      <c r="I51" t="s">
        <v>65</v>
      </c>
      <c r="J51">
        <v>16320.23245</v>
      </c>
      <c r="K51">
        <v>138</v>
      </c>
      <c r="L51" t="s">
        <v>22</v>
      </c>
      <c r="M51" s="1">
        <v>43675</v>
      </c>
      <c r="N51" t="s">
        <v>32</v>
      </c>
      <c r="O51" t="s">
        <v>47</v>
      </c>
    </row>
    <row r="52" spans="1:15" x14ac:dyDescent="0.3">
      <c r="A52" t="s">
        <v>197</v>
      </c>
      <c r="B52">
        <v>30</v>
      </c>
      <c r="C52" t="s">
        <v>16</v>
      </c>
      <c r="D52" t="s">
        <v>59</v>
      </c>
      <c r="E52" t="s">
        <v>76</v>
      </c>
      <c r="F52" s="1">
        <v>45387</v>
      </c>
      <c r="G52" t="s">
        <v>198</v>
      </c>
      <c r="H52" t="s">
        <v>199</v>
      </c>
      <c r="I52" t="s">
        <v>30</v>
      </c>
      <c r="J52">
        <v>30590.541809999999</v>
      </c>
      <c r="K52">
        <v>456</v>
      </c>
      <c r="L52" t="s">
        <v>31</v>
      </c>
      <c r="M52" s="1">
        <v>45404</v>
      </c>
      <c r="N52" t="s">
        <v>23</v>
      </c>
      <c r="O52" t="s">
        <v>33</v>
      </c>
    </row>
    <row r="53" spans="1:15" x14ac:dyDescent="0.3">
      <c r="A53" t="s">
        <v>200</v>
      </c>
      <c r="B53">
        <v>42</v>
      </c>
      <c r="C53" t="s">
        <v>35</v>
      </c>
      <c r="D53" t="s">
        <v>36</v>
      </c>
      <c r="E53" t="s">
        <v>18</v>
      </c>
      <c r="F53" s="1">
        <v>43631</v>
      </c>
      <c r="G53" t="s">
        <v>201</v>
      </c>
      <c r="H53" t="s">
        <v>202</v>
      </c>
      <c r="I53" t="s">
        <v>39</v>
      </c>
      <c r="J53">
        <v>14681.01636</v>
      </c>
      <c r="K53">
        <v>234</v>
      </c>
      <c r="L53" t="s">
        <v>31</v>
      </c>
      <c r="M53" s="1">
        <v>43651</v>
      </c>
      <c r="N53" t="s">
        <v>32</v>
      </c>
      <c r="O53" t="s">
        <v>47</v>
      </c>
    </row>
    <row r="54" spans="1:15" x14ac:dyDescent="0.3">
      <c r="A54" t="s">
        <v>203</v>
      </c>
      <c r="B54">
        <v>67</v>
      </c>
      <c r="C54" t="s">
        <v>35</v>
      </c>
      <c r="D54" t="s">
        <v>49</v>
      </c>
      <c r="E54" t="s">
        <v>18</v>
      </c>
      <c r="F54" s="1">
        <v>44863</v>
      </c>
      <c r="G54" t="s">
        <v>204</v>
      </c>
      <c r="H54" t="s">
        <v>205</v>
      </c>
      <c r="I54" t="s">
        <v>39</v>
      </c>
      <c r="J54">
        <v>21879.531910000002</v>
      </c>
      <c r="K54">
        <v>492</v>
      </c>
      <c r="L54" t="s">
        <v>22</v>
      </c>
      <c r="M54" s="1">
        <v>44885</v>
      </c>
      <c r="N54" t="s">
        <v>52</v>
      </c>
      <c r="O54" t="s">
        <v>33</v>
      </c>
    </row>
    <row r="55" spans="1:15" x14ac:dyDescent="0.3">
      <c r="A55" t="s">
        <v>206</v>
      </c>
      <c r="B55">
        <v>24</v>
      </c>
      <c r="C55" t="s">
        <v>35</v>
      </c>
      <c r="D55" t="s">
        <v>36</v>
      </c>
      <c r="E55" t="s">
        <v>27</v>
      </c>
      <c r="F55" s="1">
        <v>44659</v>
      </c>
      <c r="G55" t="s">
        <v>207</v>
      </c>
      <c r="H55" t="s">
        <v>208</v>
      </c>
      <c r="I55" t="s">
        <v>57</v>
      </c>
      <c r="J55">
        <v>6767.6343969999998</v>
      </c>
      <c r="K55">
        <v>180</v>
      </c>
      <c r="L55" t="s">
        <v>46</v>
      </c>
      <c r="M55" s="1">
        <v>44664</v>
      </c>
      <c r="N55" t="s">
        <v>79</v>
      </c>
      <c r="O55" t="s">
        <v>47</v>
      </c>
    </row>
    <row r="56" spans="1:15" x14ac:dyDescent="0.3">
      <c r="A56" t="s">
        <v>209</v>
      </c>
      <c r="B56">
        <v>84</v>
      </c>
      <c r="C56" t="s">
        <v>35</v>
      </c>
      <c r="D56" t="s">
        <v>17</v>
      </c>
      <c r="E56" t="s">
        <v>54</v>
      </c>
      <c r="F56" s="1">
        <v>45155</v>
      </c>
      <c r="G56" t="s">
        <v>210</v>
      </c>
      <c r="H56" t="s">
        <v>211</v>
      </c>
      <c r="I56" t="s">
        <v>65</v>
      </c>
      <c r="J56">
        <v>19973.462930000002</v>
      </c>
      <c r="K56">
        <v>250</v>
      </c>
      <c r="L56" t="s">
        <v>46</v>
      </c>
      <c r="M56" s="1">
        <v>45180</v>
      </c>
      <c r="N56" t="s">
        <v>32</v>
      </c>
      <c r="O56" t="s">
        <v>33</v>
      </c>
    </row>
    <row r="57" spans="1:15" x14ac:dyDescent="0.3">
      <c r="A57" t="s">
        <v>212</v>
      </c>
      <c r="B57">
        <v>73</v>
      </c>
      <c r="C57" t="s">
        <v>35</v>
      </c>
      <c r="D57" t="s">
        <v>36</v>
      </c>
      <c r="E57" t="s">
        <v>76</v>
      </c>
      <c r="F57" s="1">
        <v>45235</v>
      </c>
      <c r="G57" t="s">
        <v>213</v>
      </c>
      <c r="H57" t="s">
        <v>214</v>
      </c>
      <c r="I57" t="s">
        <v>57</v>
      </c>
      <c r="J57">
        <v>14362.314490000001</v>
      </c>
      <c r="K57">
        <v>296</v>
      </c>
      <c r="L57" t="s">
        <v>31</v>
      </c>
      <c r="M57" s="1">
        <v>45237</v>
      </c>
      <c r="N57" t="s">
        <v>23</v>
      </c>
      <c r="O57" t="s">
        <v>33</v>
      </c>
    </row>
    <row r="58" spans="1:15" x14ac:dyDescent="0.3">
      <c r="A58" t="s">
        <v>215</v>
      </c>
      <c r="B58">
        <v>55</v>
      </c>
      <c r="C58" t="s">
        <v>35</v>
      </c>
      <c r="D58" t="s">
        <v>26</v>
      </c>
      <c r="E58" t="s">
        <v>18</v>
      </c>
      <c r="F58" s="1">
        <v>45025</v>
      </c>
      <c r="G58" t="s">
        <v>216</v>
      </c>
      <c r="H58" t="s">
        <v>217</v>
      </c>
      <c r="I58" t="s">
        <v>65</v>
      </c>
      <c r="J58">
        <v>10300.657310000001</v>
      </c>
      <c r="K58">
        <v>330</v>
      </c>
      <c r="L58" t="s">
        <v>31</v>
      </c>
      <c r="M58" s="1">
        <v>45037</v>
      </c>
      <c r="N58" t="s">
        <v>23</v>
      </c>
      <c r="O58" t="s">
        <v>24</v>
      </c>
    </row>
    <row r="59" spans="1:15" x14ac:dyDescent="0.3">
      <c r="A59" t="s">
        <v>218</v>
      </c>
      <c r="B59">
        <v>23</v>
      </c>
      <c r="C59" t="s">
        <v>16</v>
      </c>
      <c r="D59" t="s">
        <v>125</v>
      </c>
      <c r="E59" t="s">
        <v>76</v>
      </c>
      <c r="F59" s="1">
        <v>44825</v>
      </c>
      <c r="G59" t="s">
        <v>219</v>
      </c>
      <c r="H59" t="s">
        <v>220</v>
      </c>
      <c r="I59" t="s">
        <v>39</v>
      </c>
      <c r="J59">
        <v>37951.66491</v>
      </c>
      <c r="K59">
        <v>405</v>
      </c>
      <c r="L59" t="s">
        <v>31</v>
      </c>
      <c r="M59" s="1">
        <v>44829</v>
      </c>
      <c r="N59" t="s">
        <v>32</v>
      </c>
      <c r="O59" t="s">
        <v>33</v>
      </c>
    </row>
    <row r="60" spans="1:15" x14ac:dyDescent="0.3">
      <c r="A60" t="s">
        <v>221</v>
      </c>
      <c r="B60">
        <v>40</v>
      </c>
      <c r="C60" t="s">
        <v>35</v>
      </c>
      <c r="D60" t="s">
        <v>59</v>
      </c>
      <c r="E60" t="s">
        <v>18</v>
      </c>
      <c r="F60" s="1">
        <v>44217</v>
      </c>
      <c r="G60" t="s">
        <v>222</v>
      </c>
      <c r="H60" t="s">
        <v>223</v>
      </c>
      <c r="I60" t="s">
        <v>39</v>
      </c>
      <c r="J60">
        <v>6733.9909470000002</v>
      </c>
      <c r="K60">
        <v>300</v>
      </c>
      <c r="L60" t="s">
        <v>22</v>
      </c>
      <c r="M60" s="1">
        <v>44233</v>
      </c>
      <c r="N60" t="s">
        <v>32</v>
      </c>
      <c r="O60" t="s">
        <v>24</v>
      </c>
    </row>
    <row r="61" spans="1:15" x14ac:dyDescent="0.3">
      <c r="A61" t="s">
        <v>224</v>
      </c>
      <c r="B61">
        <v>51</v>
      </c>
      <c r="C61" t="s">
        <v>16</v>
      </c>
      <c r="D61" t="s">
        <v>42</v>
      </c>
      <c r="E61" t="s">
        <v>76</v>
      </c>
      <c r="F61" s="1">
        <v>44022</v>
      </c>
      <c r="G61" t="s">
        <v>225</v>
      </c>
      <c r="H61" t="s">
        <v>226</v>
      </c>
      <c r="I61" t="s">
        <v>39</v>
      </c>
      <c r="J61">
        <v>17839.745650000001</v>
      </c>
      <c r="K61">
        <v>306</v>
      </c>
      <c r="L61" t="s">
        <v>46</v>
      </c>
      <c r="M61" s="1">
        <v>44032</v>
      </c>
      <c r="N61" t="s">
        <v>23</v>
      </c>
      <c r="O61" t="s">
        <v>47</v>
      </c>
    </row>
    <row r="62" spans="1:15" x14ac:dyDescent="0.3">
      <c r="A62" t="s">
        <v>227</v>
      </c>
      <c r="B62">
        <v>83</v>
      </c>
      <c r="C62" t="s">
        <v>16</v>
      </c>
      <c r="D62" t="s">
        <v>49</v>
      </c>
      <c r="E62" t="s">
        <v>27</v>
      </c>
      <c r="F62" s="1">
        <v>43775</v>
      </c>
      <c r="G62" t="s">
        <v>228</v>
      </c>
      <c r="H62" t="s">
        <v>229</v>
      </c>
      <c r="I62" t="s">
        <v>39</v>
      </c>
      <c r="J62">
        <v>24637.090059999999</v>
      </c>
      <c r="K62">
        <v>333</v>
      </c>
      <c r="L62" t="s">
        <v>46</v>
      </c>
      <c r="M62" s="1">
        <v>43791</v>
      </c>
      <c r="N62" t="s">
        <v>23</v>
      </c>
      <c r="O62" t="s">
        <v>33</v>
      </c>
    </row>
    <row r="63" spans="1:15" x14ac:dyDescent="0.3">
      <c r="A63" t="s">
        <v>230</v>
      </c>
      <c r="B63">
        <v>63</v>
      </c>
      <c r="C63" t="s">
        <v>16</v>
      </c>
      <c r="D63" t="s">
        <v>36</v>
      </c>
      <c r="E63" t="s">
        <v>54</v>
      </c>
      <c r="F63" s="1">
        <v>45389</v>
      </c>
      <c r="G63" t="s">
        <v>231</v>
      </c>
      <c r="H63" t="s">
        <v>232</v>
      </c>
      <c r="I63" t="s">
        <v>57</v>
      </c>
      <c r="J63">
        <v>39723.16605</v>
      </c>
      <c r="K63">
        <v>244</v>
      </c>
      <c r="L63" t="s">
        <v>31</v>
      </c>
      <c r="M63" s="1">
        <v>45416</v>
      </c>
      <c r="N63" t="s">
        <v>32</v>
      </c>
      <c r="O63" t="s">
        <v>33</v>
      </c>
    </row>
    <row r="64" spans="1:15" x14ac:dyDescent="0.3">
      <c r="A64" t="s">
        <v>233</v>
      </c>
      <c r="B64">
        <v>18</v>
      </c>
      <c r="C64" t="s">
        <v>16</v>
      </c>
      <c r="D64" t="s">
        <v>26</v>
      </c>
      <c r="E64" t="s">
        <v>18</v>
      </c>
      <c r="F64" s="1">
        <v>44748</v>
      </c>
      <c r="G64" t="s">
        <v>234</v>
      </c>
      <c r="H64" t="s">
        <v>235</v>
      </c>
      <c r="I64" t="s">
        <v>57</v>
      </c>
      <c r="J64">
        <v>48407.386290000002</v>
      </c>
      <c r="K64">
        <v>325</v>
      </c>
      <c r="L64" t="s">
        <v>31</v>
      </c>
      <c r="M64" s="1">
        <v>44760</v>
      </c>
      <c r="N64" t="s">
        <v>40</v>
      </c>
      <c r="O64" t="s">
        <v>24</v>
      </c>
    </row>
    <row r="65" spans="1:15" x14ac:dyDescent="0.3">
      <c r="A65" t="s">
        <v>236</v>
      </c>
      <c r="B65">
        <v>23</v>
      </c>
      <c r="C65" t="s">
        <v>35</v>
      </c>
      <c r="D65" t="s">
        <v>17</v>
      </c>
      <c r="E65" t="s">
        <v>76</v>
      </c>
      <c r="F65" s="1">
        <v>44776</v>
      </c>
      <c r="G65" t="s">
        <v>237</v>
      </c>
      <c r="H65" t="s">
        <v>238</v>
      </c>
      <c r="I65" t="s">
        <v>65</v>
      </c>
      <c r="J65">
        <v>5517.393642</v>
      </c>
      <c r="K65">
        <v>113</v>
      </c>
      <c r="L65" t="s">
        <v>46</v>
      </c>
      <c r="M65" s="1">
        <v>44783</v>
      </c>
      <c r="N65" t="s">
        <v>40</v>
      </c>
      <c r="O65" t="s">
        <v>33</v>
      </c>
    </row>
    <row r="66" spans="1:15" x14ac:dyDescent="0.3">
      <c r="A66" t="s">
        <v>239</v>
      </c>
      <c r="B66">
        <v>58</v>
      </c>
      <c r="C66" t="s">
        <v>16</v>
      </c>
      <c r="D66" t="s">
        <v>36</v>
      </c>
      <c r="E66" t="s">
        <v>76</v>
      </c>
      <c r="F66" s="1">
        <v>43959</v>
      </c>
      <c r="G66" t="s">
        <v>240</v>
      </c>
      <c r="H66" t="s">
        <v>241</v>
      </c>
      <c r="I66" t="s">
        <v>30</v>
      </c>
      <c r="J66">
        <v>19183.168890000001</v>
      </c>
      <c r="K66">
        <v>378</v>
      </c>
      <c r="L66" t="s">
        <v>31</v>
      </c>
      <c r="M66" s="1">
        <v>43983</v>
      </c>
      <c r="N66" t="s">
        <v>40</v>
      </c>
      <c r="O66" t="s">
        <v>47</v>
      </c>
    </row>
    <row r="67" spans="1:15" x14ac:dyDescent="0.3">
      <c r="A67" t="s">
        <v>242</v>
      </c>
      <c r="B67">
        <v>27</v>
      </c>
      <c r="C67" t="s">
        <v>16</v>
      </c>
      <c r="D67" t="s">
        <v>59</v>
      </c>
      <c r="E67" t="s">
        <v>18</v>
      </c>
      <c r="F67" s="1">
        <v>43808</v>
      </c>
      <c r="G67" t="s">
        <v>243</v>
      </c>
      <c r="H67" t="s">
        <v>244</v>
      </c>
      <c r="I67" t="s">
        <v>30</v>
      </c>
      <c r="J67">
        <v>8320.6608030000007</v>
      </c>
      <c r="K67">
        <v>468</v>
      </c>
      <c r="L67" t="s">
        <v>22</v>
      </c>
      <c r="M67" s="1">
        <v>43820</v>
      </c>
      <c r="N67" t="s">
        <v>79</v>
      </c>
      <c r="O67" t="s">
        <v>47</v>
      </c>
    </row>
    <row r="68" spans="1:15" x14ac:dyDescent="0.3">
      <c r="A68" t="s">
        <v>245</v>
      </c>
      <c r="B68">
        <v>59</v>
      </c>
      <c r="C68" t="s">
        <v>16</v>
      </c>
      <c r="D68" t="s">
        <v>103</v>
      </c>
      <c r="E68" t="s">
        <v>43</v>
      </c>
      <c r="F68" s="1">
        <v>43790</v>
      </c>
      <c r="G68" t="s">
        <v>246</v>
      </c>
      <c r="H68" t="s">
        <v>247</v>
      </c>
      <c r="I68" t="s">
        <v>30</v>
      </c>
      <c r="J68">
        <v>10107.18765</v>
      </c>
      <c r="K68">
        <v>368</v>
      </c>
      <c r="L68" t="s">
        <v>31</v>
      </c>
      <c r="M68" s="1">
        <v>43807</v>
      </c>
      <c r="N68" t="s">
        <v>52</v>
      </c>
      <c r="O68" t="s">
        <v>47</v>
      </c>
    </row>
    <row r="69" spans="1:15" x14ac:dyDescent="0.3">
      <c r="A69" t="s">
        <v>248</v>
      </c>
      <c r="B69">
        <v>27</v>
      </c>
      <c r="C69" t="s">
        <v>16</v>
      </c>
      <c r="D69" t="s">
        <v>17</v>
      </c>
      <c r="E69" t="s">
        <v>76</v>
      </c>
      <c r="F69" s="1">
        <v>44933</v>
      </c>
      <c r="G69" t="s">
        <v>249</v>
      </c>
      <c r="H69" t="s">
        <v>250</v>
      </c>
      <c r="I69" t="s">
        <v>65</v>
      </c>
      <c r="J69">
        <v>49402.298369999997</v>
      </c>
      <c r="K69">
        <v>263</v>
      </c>
      <c r="L69" t="s">
        <v>46</v>
      </c>
      <c r="M69" s="1">
        <v>44953</v>
      </c>
      <c r="N69" t="s">
        <v>79</v>
      </c>
      <c r="O69" t="s">
        <v>33</v>
      </c>
    </row>
    <row r="70" spans="1:15" x14ac:dyDescent="0.3">
      <c r="A70" t="s">
        <v>251</v>
      </c>
      <c r="B70">
        <v>31</v>
      </c>
      <c r="C70" t="s">
        <v>16</v>
      </c>
      <c r="D70" t="s">
        <v>103</v>
      </c>
      <c r="E70" t="s">
        <v>43</v>
      </c>
      <c r="F70" s="1">
        <v>45328</v>
      </c>
      <c r="G70" t="s">
        <v>252</v>
      </c>
      <c r="H70" t="s">
        <v>253</v>
      </c>
      <c r="I70" t="s">
        <v>57</v>
      </c>
      <c r="J70">
        <v>35776.815110000003</v>
      </c>
      <c r="K70">
        <v>489</v>
      </c>
      <c r="L70" t="s">
        <v>31</v>
      </c>
      <c r="M70" s="1">
        <v>45332</v>
      </c>
      <c r="N70" t="s">
        <v>52</v>
      </c>
      <c r="O70" t="s">
        <v>24</v>
      </c>
    </row>
    <row r="71" spans="1:15" x14ac:dyDescent="0.3">
      <c r="A71" t="s">
        <v>254</v>
      </c>
      <c r="B71">
        <v>19</v>
      </c>
      <c r="C71" t="s">
        <v>35</v>
      </c>
      <c r="D71" t="s">
        <v>26</v>
      </c>
      <c r="E71" t="s">
        <v>93</v>
      </c>
      <c r="F71" s="1">
        <v>43860</v>
      </c>
      <c r="G71" t="s">
        <v>255</v>
      </c>
      <c r="H71" t="s">
        <v>256</v>
      </c>
      <c r="I71" t="s">
        <v>30</v>
      </c>
      <c r="J71">
        <v>20227.863730000001</v>
      </c>
      <c r="K71">
        <v>241</v>
      </c>
      <c r="L71" t="s">
        <v>46</v>
      </c>
      <c r="M71" s="1">
        <v>43873</v>
      </c>
      <c r="N71" t="s">
        <v>52</v>
      </c>
      <c r="O71" t="s">
        <v>24</v>
      </c>
    </row>
    <row r="72" spans="1:15" x14ac:dyDescent="0.3">
      <c r="A72" t="s">
        <v>257</v>
      </c>
      <c r="B72">
        <v>29</v>
      </c>
      <c r="C72" t="s">
        <v>35</v>
      </c>
      <c r="D72" t="s">
        <v>42</v>
      </c>
      <c r="E72" t="s">
        <v>18</v>
      </c>
      <c r="F72" s="1">
        <v>44858</v>
      </c>
      <c r="G72" t="s">
        <v>258</v>
      </c>
      <c r="H72" t="s">
        <v>259</v>
      </c>
      <c r="I72" t="s">
        <v>21</v>
      </c>
      <c r="J72">
        <v>19328.118579999998</v>
      </c>
      <c r="K72">
        <v>231</v>
      </c>
      <c r="L72" t="s">
        <v>22</v>
      </c>
      <c r="M72" s="1">
        <v>44872</v>
      </c>
      <c r="N72" t="s">
        <v>32</v>
      </c>
      <c r="O72" t="s">
        <v>24</v>
      </c>
    </row>
    <row r="73" spans="1:15" x14ac:dyDescent="0.3">
      <c r="A73" t="s">
        <v>260</v>
      </c>
      <c r="B73">
        <v>18</v>
      </c>
      <c r="C73" t="s">
        <v>16</v>
      </c>
      <c r="D73" t="s">
        <v>36</v>
      </c>
      <c r="E73" t="s">
        <v>27</v>
      </c>
      <c r="F73" s="1">
        <v>44570</v>
      </c>
      <c r="G73" t="s">
        <v>261</v>
      </c>
      <c r="H73" t="s">
        <v>262</v>
      </c>
      <c r="I73" t="s">
        <v>39</v>
      </c>
      <c r="J73">
        <v>46956.545729999998</v>
      </c>
      <c r="K73">
        <v>377</v>
      </c>
      <c r="L73" t="s">
        <v>31</v>
      </c>
      <c r="M73" s="1">
        <v>44576</v>
      </c>
      <c r="N73" t="s">
        <v>40</v>
      </c>
      <c r="O73" t="s">
        <v>33</v>
      </c>
    </row>
    <row r="74" spans="1:15" x14ac:dyDescent="0.3">
      <c r="A74" t="s">
        <v>263</v>
      </c>
      <c r="B74">
        <v>24</v>
      </c>
      <c r="C74" t="s">
        <v>16</v>
      </c>
      <c r="D74" t="s">
        <v>59</v>
      </c>
      <c r="E74" t="s">
        <v>18</v>
      </c>
      <c r="F74" s="1">
        <v>45288</v>
      </c>
      <c r="G74" t="s">
        <v>264</v>
      </c>
      <c r="H74" t="s">
        <v>265</v>
      </c>
      <c r="I74" t="s">
        <v>65</v>
      </c>
      <c r="J74">
        <v>10709.69039</v>
      </c>
      <c r="K74">
        <v>407</v>
      </c>
      <c r="L74" t="s">
        <v>31</v>
      </c>
      <c r="M74" s="1">
        <v>45293</v>
      </c>
      <c r="N74" t="s">
        <v>23</v>
      </c>
      <c r="O74" t="s">
        <v>47</v>
      </c>
    </row>
    <row r="75" spans="1:15" x14ac:dyDescent="0.3">
      <c r="A75" t="s">
        <v>266</v>
      </c>
      <c r="B75">
        <v>27</v>
      </c>
      <c r="C75" t="s">
        <v>16</v>
      </c>
      <c r="D75" t="s">
        <v>59</v>
      </c>
      <c r="E75" t="s">
        <v>43</v>
      </c>
      <c r="F75" s="1">
        <v>44455</v>
      </c>
      <c r="G75" t="s">
        <v>267</v>
      </c>
      <c r="H75" t="s">
        <v>268</v>
      </c>
      <c r="I75" t="s">
        <v>39</v>
      </c>
      <c r="J75">
        <v>45353.99078</v>
      </c>
      <c r="K75">
        <v>263</v>
      </c>
      <c r="L75" t="s">
        <v>22</v>
      </c>
      <c r="M75" s="1">
        <v>44483</v>
      </c>
      <c r="N75" t="s">
        <v>52</v>
      </c>
      <c r="O75" t="s">
        <v>47</v>
      </c>
    </row>
    <row r="76" spans="1:15" x14ac:dyDescent="0.3">
      <c r="A76" t="s">
        <v>269</v>
      </c>
      <c r="B76">
        <v>57</v>
      </c>
      <c r="C76" t="s">
        <v>35</v>
      </c>
      <c r="D76" t="s">
        <v>59</v>
      </c>
      <c r="E76" t="s">
        <v>93</v>
      </c>
      <c r="F76" s="1">
        <v>45131</v>
      </c>
      <c r="G76" t="s">
        <v>270</v>
      </c>
      <c r="H76" t="s">
        <v>271</v>
      </c>
      <c r="I76" t="s">
        <v>39</v>
      </c>
      <c r="J76">
        <v>8451.0017580000003</v>
      </c>
      <c r="K76">
        <v>135</v>
      </c>
      <c r="L76" t="s">
        <v>46</v>
      </c>
      <c r="M76" s="1">
        <v>45149</v>
      </c>
      <c r="N76" t="s">
        <v>23</v>
      </c>
      <c r="O76" t="s">
        <v>47</v>
      </c>
    </row>
    <row r="77" spans="1:15" x14ac:dyDescent="0.3">
      <c r="A77" t="s">
        <v>272</v>
      </c>
      <c r="B77">
        <v>74</v>
      </c>
      <c r="C77" t="s">
        <v>35</v>
      </c>
      <c r="D77" t="s">
        <v>26</v>
      </c>
      <c r="E77" t="s">
        <v>93</v>
      </c>
      <c r="F77" s="1">
        <v>44513</v>
      </c>
      <c r="G77" t="s">
        <v>273</v>
      </c>
      <c r="H77" t="s">
        <v>274</v>
      </c>
      <c r="I77" t="s">
        <v>57</v>
      </c>
      <c r="J77">
        <v>29850.879730000001</v>
      </c>
      <c r="K77">
        <v>131</v>
      </c>
      <c r="L77" t="s">
        <v>31</v>
      </c>
      <c r="M77" s="1">
        <v>44537</v>
      </c>
      <c r="N77" t="s">
        <v>23</v>
      </c>
      <c r="O77" t="s">
        <v>33</v>
      </c>
    </row>
    <row r="78" spans="1:15" x14ac:dyDescent="0.3">
      <c r="A78" t="s">
        <v>275</v>
      </c>
      <c r="B78">
        <v>22</v>
      </c>
      <c r="C78" t="s">
        <v>35</v>
      </c>
      <c r="D78" t="s">
        <v>36</v>
      </c>
      <c r="E78" t="s">
        <v>93</v>
      </c>
      <c r="F78" s="1">
        <v>45210</v>
      </c>
      <c r="G78" t="s">
        <v>276</v>
      </c>
      <c r="H78" t="s">
        <v>277</v>
      </c>
      <c r="I78" t="s">
        <v>21</v>
      </c>
      <c r="J78">
        <v>42696.521159999997</v>
      </c>
      <c r="K78">
        <v>102</v>
      </c>
      <c r="L78" t="s">
        <v>22</v>
      </c>
      <c r="M78" s="1">
        <v>45226</v>
      </c>
      <c r="N78" t="s">
        <v>52</v>
      </c>
      <c r="O78" t="s">
        <v>24</v>
      </c>
    </row>
    <row r="79" spans="1:15" x14ac:dyDescent="0.3">
      <c r="A79" t="s">
        <v>278</v>
      </c>
      <c r="B79">
        <v>33</v>
      </c>
      <c r="C79" t="s">
        <v>35</v>
      </c>
      <c r="D79" t="s">
        <v>17</v>
      </c>
      <c r="E79" t="s">
        <v>43</v>
      </c>
      <c r="F79" s="1">
        <v>44226</v>
      </c>
      <c r="G79" t="s">
        <v>279</v>
      </c>
      <c r="H79" t="s">
        <v>280</v>
      </c>
      <c r="I79" t="s">
        <v>65</v>
      </c>
      <c r="J79">
        <v>2305.1391400000002</v>
      </c>
      <c r="K79">
        <v>249</v>
      </c>
      <c r="L79" t="s">
        <v>31</v>
      </c>
      <c r="M79" s="1">
        <v>44231</v>
      </c>
      <c r="N79" t="s">
        <v>52</v>
      </c>
      <c r="O79" t="s">
        <v>33</v>
      </c>
    </row>
    <row r="80" spans="1:15" x14ac:dyDescent="0.3">
      <c r="A80" t="s">
        <v>281</v>
      </c>
      <c r="B80">
        <v>57</v>
      </c>
      <c r="C80" t="s">
        <v>16</v>
      </c>
      <c r="D80" t="s">
        <v>103</v>
      </c>
      <c r="E80" t="s">
        <v>93</v>
      </c>
      <c r="F80" s="1">
        <v>44521</v>
      </c>
      <c r="G80" t="s">
        <v>282</v>
      </c>
      <c r="H80" t="s">
        <v>283</v>
      </c>
      <c r="I80" t="s">
        <v>57</v>
      </c>
      <c r="J80">
        <v>44437.470670000002</v>
      </c>
      <c r="K80">
        <v>255</v>
      </c>
      <c r="L80" t="s">
        <v>31</v>
      </c>
      <c r="M80" s="1">
        <v>44535</v>
      </c>
      <c r="N80" t="s">
        <v>52</v>
      </c>
      <c r="O80" t="s">
        <v>33</v>
      </c>
    </row>
    <row r="81" spans="1:15" x14ac:dyDescent="0.3">
      <c r="A81" t="s">
        <v>284</v>
      </c>
      <c r="B81">
        <v>61</v>
      </c>
      <c r="C81" t="s">
        <v>16</v>
      </c>
      <c r="D81" t="s">
        <v>103</v>
      </c>
      <c r="E81" t="s">
        <v>18</v>
      </c>
      <c r="F81" s="1">
        <v>45353</v>
      </c>
      <c r="G81" t="s">
        <v>285</v>
      </c>
      <c r="H81" t="s">
        <v>286</v>
      </c>
      <c r="I81" t="s">
        <v>57</v>
      </c>
      <c r="J81">
        <v>29504.387439999999</v>
      </c>
      <c r="K81">
        <v>422</v>
      </c>
      <c r="L81" t="s">
        <v>22</v>
      </c>
      <c r="M81" s="1">
        <v>45377</v>
      </c>
      <c r="N81" t="s">
        <v>32</v>
      </c>
      <c r="O81" t="s">
        <v>33</v>
      </c>
    </row>
    <row r="82" spans="1:15" x14ac:dyDescent="0.3">
      <c r="A82" t="s">
        <v>287</v>
      </c>
      <c r="B82">
        <v>20</v>
      </c>
      <c r="C82" t="s">
        <v>16</v>
      </c>
      <c r="D82" t="s">
        <v>42</v>
      </c>
      <c r="E82" t="s">
        <v>93</v>
      </c>
      <c r="F82" s="1">
        <v>44169</v>
      </c>
      <c r="G82" t="s">
        <v>288</v>
      </c>
      <c r="H82" t="s">
        <v>289</v>
      </c>
      <c r="I82" t="s">
        <v>21</v>
      </c>
      <c r="J82">
        <v>34617.788339999999</v>
      </c>
      <c r="K82">
        <v>320</v>
      </c>
      <c r="L82" t="s">
        <v>31</v>
      </c>
      <c r="M82" s="1">
        <v>44173</v>
      </c>
      <c r="N82" t="s">
        <v>32</v>
      </c>
      <c r="O82" t="s">
        <v>47</v>
      </c>
    </row>
    <row r="83" spans="1:15" x14ac:dyDescent="0.3">
      <c r="A83" t="s">
        <v>290</v>
      </c>
      <c r="B83">
        <v>67</v>
      </c>
      <c r="C83" t="s">
        <v>16</v>
      </c>
      <c r="D83" t="s">
        <v>49</v>
      </c>
      <c r="E83" t="s">
        <v>76</v>
      </c>
      <c r="F83" s="1">
        <v>44069</v>
      </c>
      <c r="G83" t="s">
        <v>291</v>
      </c>
      <c r="H83" t="s">
        <v>292</v>
      </c>
      <c r="I83" t="s">
        <v>39</v>
      </c>
      <c r="J83">
        <v>46814.011200000001</v>
      </c>
      <c r="K83">
        <v>134</v>
      </c>
      <c r="L83" t="s">
        <v>22</v>
      </c>
      <c r="M83" s="1">
        <v>44070</v>
      </c>
      <c r="N83" t="s">
        <v>52</v>
      </c>
      <c r="O83" t="s">
        <v>47</v>
      </c>
    </row>
    <row r="84" spans="1:15" x14ac:dyDescent="0.3">
      <c r="A84" t="s">
        <v>293</v>
      </c>
      <c r="B84">
        <v>80</v>
      </c>
      <c r="C84" t="s">
        <v>35</v>
      </c>
      <c r="D84" t="s">
        <v>59</v>
      </c>
      <c r="E84" t="s">
        <v>43</v>
      </c>
      <c r="F84" s="1">
        <v>45242</v>
      </c>
      <c r="G84" t="s">
        <v>294</v>
      </c>
      <c r="H84" t="s">
        <v>295</v>
      </c>
      <c r="I84" t="s">
        <v>21</v>
      </c>
      <c r="J84">
        <v>20257.544279999998</v>
      </c>
      <c r="K84">
        <v>255</v>
      </c>
      <c r="L84" t="s">
        <v>46</v>
      </c>
      <c r="M84" s="1">
        <v>45272</v>
      </c>
      <c r="N84" t="s">
        <v>52</v>
      </c>
      <c r="O84" t="s">
        <v>47</v>
      </c>
    </row>
    <row r="85" spans="1:15" x14ac:dyDescent="0.3">
      <c r="A85" t="s">
        <v>296</v>
      </c>
      <c r="B85">
        <v>44</v>
      </c>
      <c r="C85" t="s">
        <v>16</v>
      </c>
      <c r="D85" t="s">
        <v>42</v>
      </c>
      <c r="E85" t="s">
        <v>27</v>
      </c>
      <c r="F85" s="1">
        <v>43981</v>
      </c>
      <c r="G85" t="s">
        <v>297</v>
      </c>
      <c r="H85" t="s">
        <v>298</v>
      </c>
      <c r="I85" t="s">
        <v>65</v>
      </c>
      <c r="J85">
        <v>22841.363880000001</v>
      </c>
      <c r="K85">
        <v>410</v>
      </c>
      <c r="L85" t="s">
        <v>31</v>
      </c>
      <c r="M85" s="1">
        <v>43996</v>
      </c>
      <c r="N85" t="s">
        <v>40</v>
      </c>
      <c r="O85" t="s">
        <v>33</v>
      </c>
    </row>
    <row r="86" spans="1:15" x14ac:dyDescent="0.3">
      <c r="A86" t="s">
        <v>299</v>
      </c>
      <c r="B86">
        <v>26</v>
      </c>
      <c r="C86" t="s">
        <v>35</v>
      </c>
      <c r="D86" t="s">
        <v>17</v>
      </c>
      <c r="E86" t="s">
        <v>54</v>
      </c>
      <c r="F86" s="1">
        <v>45058</v>
      </c>
      <c r="G86" t="s">
        <v>300</v>
      </c>
      <c r="H86" t="s">
        <v>301</v>
      </c>
      <c r="I86" t="s">
        <v>30</v>
      </c>
      <c r="J86">
        <v>10283.71686</v>
      </c>
      <c r="K86">
        <v>273</v>
      </c>
      <c r="L86" t="s">
        <v>31</v>
      </c>
      <c r="M86" s="1">
        <v>45087</v>
      </c>
      <c r="N86" t="s">
        <v>32</v>
      </c>
      <c r="O86" t="s">
        <v>47</v>
      </c>
    </row>
    <row r="87" spans="1:15" x14ac:dyDescent="0.3">
      <c r="A87" t="s">
        <v>302</v>
      </c>
      <c r="B87">
        <v>80</v>
      </c>
      <c r="C87" t="s">
        <v>16</v>
      </c>
      <c r="D87" t="s">
        <v>49</v>
      </c>
      <c r="E87" t="s">
        <v>18</v>
      </c>
      <c r="F87" s="1">
        <v>44749</v>
      </c>
      <c r="G87" t="s">
        <v>303</v>
      </c>
      <c r="H87" t="s">
        <v>304</v>
      </c>
      <c r="I87" t="s">
        <v>57</v>
      </c>
      <c r="J87">
        <v>1586.4766010000001</v>
      </c>
      <c r="K87">
        <v>395</v>
      </c>
      <c r="L87" t="s">
        <v>31</v>
      </c>
      <c r="M87" s="1">
        <v>44765</v>
      </c>
      <c r="N87" t="s">
        <v>32</v>
      </c>
      <c r="O87" t="s">
        <v>24</v>
      </c>
    </row>
    <row r="88" spans="1:15" x14ac:dyDescent="0.3">
      <c r="A88" t="s">
        <v>305</v>
      </c>
      <c r="B88">
        <v>63</v>
      </c>
      <c r="C88" t="s">
        <v>16</v>
      </c>
      <c r="D88" t="s">
        <v>17</v>
      </c>
      <c r="E88" t="s">
        <v>54</v>
      </c>
      <c r="F88" s="1">
        <v>44098</v>
      </c>
      <c r="G88" t="s">
        <v>306</v>
      </c>
      <c r="H88" t="s">
        <v>307</v>
      </c>
      <c r="I88" t="s">
        <v>39</v>
      </c>
      <c r="J88">
        <v>34774.351130000003</v>
      </c>
      <c r="K88">
        <v>152</v>
      </c>
      <c r="L88" t="s">
        <v>31</v>
      </c>
      <c r="M88" s="1">
        <v>44112</v>
      </c>
      <c r="N88" t="s">
        <v>52</v>
      </c>
      <c r="O88" t="s">
        <v>33</v>
      </c>
    </row>
    <row r="89" spans="1:15" x14ac:dyDescent="0.3">
      <c r="A89" t="s">
        <v>308</v>
      </c>
      <c r="B89">
        <v>58</v>
      </c>
      <c r="C89" t="s">
        <v>35</v>
      </c>
      <c r="D89" t="s">
        <v>17</v>
      </c>
      <c r="E89" t="s">
        <v>93</v>
      </c>
      <c r="F89" s="1">
        <v>45157</v>
      </c>
      <c r="G89" t="s">
        <v>309</v>
      </c>
      <c r="H89" t="s">
        <v>310</v>
      </c>
      <c r="I89" t="s">
        <v>57</v>
      </c>
      <c r="J89">
        <v>24870.103660000001</v>
      </c>
      <c r="K89">
        <v>321</v>
      </c>
      <c r="L89" t="s">
        <v>31</v>
      </c>
      <c r="M89" s="1">
        <v>45163</v>
      </c>
      <c r="N89" t="s">
        <v>32</v>
      </c>
      <c r="O89" t="s">
        <v>33</v>
      </c>
    </row>
    <row r="90" spans="1:15" x14ac:dyDescent="0.3">
      <c r="A90" t="s">
        <v>311</v>
      </c>
      <c r="B90">
        <v>38</v>
      </c>
      <c r="C90" t="s">
        <v>35</v>
      </c>
      <c r="D90" t="s">
        <v>26</v>
      </c>
      <c r="E90" t="s">
        <v>18</v>
      </c>
      <c r="F90" s="1">
        <v>45062</v>
      </c>
      <c r="G90" t="s">
        <v>312</v>
      </c>
      <c r="H90" t="s">
        <v>313</v>
      </c>
      <c r="I90" t="s">
        <v>65</v>
      </c>
      <c r="J90">
        <v>39476.947509999998</v>
      </c>
      <c r="K90">
        <v>428</v>
      </c>
      <c r="L90" t="s">
        <v>46</v>
      </c>
      <c r="M90" s="1">
        <v>45078</v>
      </c>
      <c r="N90" t="s">
        <v>40</v>
      </c>
      <c r="O90" t="s">
        <v>47</v>
      </c>
    </row>
    <row r="91" spans="1:15" x14ac:dyDescent="0.3">
      <c r="A91" t="s">
        <v>314</v>
      </c>
      <c r="B91">
        <v>60</v>
      </c>
      <c r="C91" t="s">
        <v>16</v>
      </c>
      <c r="D91" t="s">
        <v>103</v>
      </c>
      <c r="E91" t="s">
        <v>76</v>
      </c>
      <c r="F91" s="1">
        <v>44795</v>
      </c>
      <c r="G91" t="s">
        <v>315</v>
      </c>
      <c r="H91" t="s">
        <v>316</v>
      </c>
      <c r="I91" t="s">
        <v>21</v>
      </c>
      <c r="J91">
        <v>26062.43432</v>
      </c>
      <c r="K91">
        <v>482</v>
      </c>
      <c r="L91" t="s">
        <v>46</v>
      </c>
      <c r="M91" s="1">
        <v>44811</v>
      </c>
      <c r="N91" t="s">
        <v>23</v>
      </c>
      <c r="O91" t="s">
        <v>33</v>
      </c>
    </row>
    <row r="92" spans="1:15" x14ac:dyDescent="0.3">
      <c r="A92" t="s">
        <v>317</v>
      </c>
      <c r="B92">
        <v>49</v>
      </c>
      <c r="C92" t="s">
        <v>16</v>
      </c>
      <c r="D92" t="s">
        <v>103</v>
      </c>
      <c r="E92" t="s">
        <v>18</v>
      </c>
      <c r="F92" s="1">
        <v>44729</v>
      </c>
      <c r="G92" t="s">
        <v>318</v>
      </c>
      <c r="H92" t="s">
        <v>319</v>
      </c>
      <c r="I92" t="s">
        <v>30</v>
      </c>
      <c r="J92">
        <v>25302.11263</v>
      </c>
      <c r="K92">
        <v>268</v>
      </c>
      <c r="L92" t="s">
        <v>46</v>
      </c>
      <c r="M92" s="1">
        <v>44740</v>
      </c>
      <c r="N92" t="s">
        <v>52</v>
      </c>
      <c r="O92" t="s">
        <v>47</v>
      </c>
    </row>
    <row r="93" spans="1:15" x14ac:dyDescent="0.3">
      <c r="A93" t="s">
        <v>320</v>
      </c>
      <c r="B93">
        <v>80</v>
      </c>
      <c r="C93" t="s">
        <v>16</v>
      </c>
      <c r="D93" t="s">
        <v>26</v>
      </c>
      <c r="E93" t="s">
        <v>43</v>
      </c>
      <c r="F93" s="1">
        <v>44870</v>
      </c>
      <c r="G93" t="s">
        <v>321</v>
      </c>
      <c r="H93" t="s">
        <v>322</v>
      </c>
      <c r="I93" t="s">
        <v>57</v>
      </c>
      <c r="J93">
        <v>10661.51065</v>
      </c>
      <c r="K93">
        <v>120</v>
      </c>
      <c r="L93" t="s">
        <v>31</v>
      </c>
      <c r="M93" s="1">
        <v>44890</v>
      </c>
      <c r="N93" t="s">
        <v>79</v>
      </c>
      <c r="O93" t="s">
        <v>47</v>
      </c>
    </row>
    <row r="94" spans="1:15" x14ac:dyDescent="0.3">
      <c r="A94" t="s">
        <v>323</v>
      </c>
      <c r="B94">
        <v>35</v>
      </c>
      <c r="C94" t="s">
        <v>35</v>
      </c>
      <c r="D94" t="s">
        <v>103</v>
      </c>
      <c r="E94" t="s">
        <v>43</v>
      </c>
      <c r="F94" s="1">
        <v>44449</v>
      </c>
      <c r="G94" t="s">
        <v>324</v>
      </c>
      <c r="H94" t="s">
        <v>325</v>
      </c>
      <c r="I94" t="s">
        <v>21</v>
      </c>
      <c r="J94">
        <v>30358.194579999999</v>
      </c>
      <c r="K94">
        <v>318</v>
      </c>
      <c r="L94" t="s">
        <v>46</v>
      </c>
      <c r="M94" s="1">
        <v>44457</v>
      </c>
      <c r="N94" t="s">
        <v>32</v>
      </c>
      <c r="O94" t="s">
        <v>33</v>
      </c>
    </row>
    <row r="95" spans="1:15" x14ac:dyDescent="0.3">
      <c r="A95" t="s">
        <v>326</v>
      </c>
      <c r="B95">
        <v>84</v>
      </c>
      <c r="C95" t="s">
        <v>16</v>
      </c>
      <c r="D95" t="s">
        <v>26</v>
      </c>
      <c r="E95" t="s">
        <v>54</v>
      </c>
      <c r="F95" s="1">
        <v>44810</v>
      </c>
      <c r="G95" t="s">
        <v>327</v>
      </c>
      <c r="H95" t="s">
        <v>328</v>
      </c>
      <c r="I95" t="s">
        <v>65</v>
      </c>
      <c r="J95">
        <v>23684.52547</v>
      </c>
      <c r="K95">
        <v>162</v>
      </c>
      <c r="L95" t="s">
        <v>22</v>
      </c>
      <c r="M95" s="1">
        <v>44831</v>
      </c>
      <c r="N95" t="s">
        <v>32</v>
      </c>
      <c r="O95" t="s">
        <v>33</v>
      </c>
    </row>
    <row r="96" spans="1:15" x14ac:dyDescent="0.3">
      <c r="A96" t="s">
        <v>329</v>
      </c>
      <c r="B96">
        <v>76</v>
      </c>
      <c r="C96" t="s">
        <v>16</v>
      </c>
      <c r="D96" t="s">
        <v>26</v>
      </c>
      <c r="E96" t="s">
        <v>43</v>
      </c>
      <c r="F96" s="1">
        <v>44303</v>
      </c>
      <c r="G96" t="s">
        <v>330</v>
      </c>
      <c r="H96" t="s">
        <v>331</v>
      </c>
      <c r="I96" t="s">
        <v>39</v>
      </c>
      <c r="J96">
        <v>3908.9465679999998</v>
      </c>
      <c r="K96">
        <v>428</v>
      </c>
      <c r="L96" t="s">
        <v>46</v>
      </c>
      <c r="M96" s="1">
        <v>44326</v>
      </c>
      <c r="N96" t="s">
        <v>79</v>
      </c>
      <c r="O96" t="s">
        <v>33</v>
      </c>
    </row>
    <row r="97" spans="1:15" x14ac:dyDescent="0.3">
      <c r="A97" t="s">
        <v>332</v>
      </c>
      <c r="B97">
        <v>79</v>
      </c>
      <c r="C97" t="s">
        <v>35</v>
      </c>
      <c r="D97" t="s">
        <v>36</v>
      </c>
      <c r="E97" t="s">
        <v>76</v>
      </c>
      <c r="F97" s="1">
        <v>43696</v>
      </c>
      <c r="G97" t="s">
        <v>333</v>
      </c>
      <c r="H97" t="s">
        <v>334</v>
      </c>
      <c r="I97" t="s">
        <v>30</v>
      </c>
      <c r="J97">
        <v>25503.67381</v>
      </c>
      <c r="K97">
        <v>144</v>
      </c>
      <c r="L97" t="s">
        <v>46</v>
      </c>
      <c r="M97" s="1">
        <v>43703</v>
      </c>
      <c r="N97" t="s">
        <v>79</v>
      </c>
      <c r="O97" t="s">
        <v>47</v>
      </c>
    </row>
    <row r="98" spans="1:15" x14ac:dyDescent="0.3">
      <c r="A98" t="s">
        <v>335</v>
      </c>
      <c r="B98">
        <v>76</v>
      </c>
      <c r="C98" t="s">
        <v>35</v>
      </c>
      <c r="D98" t="s">
        <v>42</v>
      </c>
      <c r="E98" t="s">
        <v>43</v>
      </c>
      <c r="F98" s="1">
        <v>45375</v>
      </c>
      <c r="G98" t="s">
        <v>336</v>
      </c>
      <c r="H98" t="s">
        <v>337</v>
      </c>
      <c r="I98" t="s">
        <v>39</v>
      </c>
      <c r="J98">
        <v>6312.6076910000002</v>
      </c>
      <c r="K98">
        <v>226</v>
      </c>
      <c r="L98" t="s">
        <v>46</v>
      </c>
      <c r="M98" s="1">
        <v>45396</v>
      </c>
      <c r="N98" t="s">
        <v>40</v>
      </c>
      <c r="O98" t="s">
        <v>47</v>
      </c>
    </row>
    <row r="99" spans="1:15" x14ac:dyDescent="0.3">
      <c r="A99" t="s">
        <v>338</v>
      </c>
      <c r="B99">
        <v>55</v>
      </c>
      <c r="C99" t="s">
        <v>35</v>
      </c>
      <c r="D99" t="s">
        <v>26</v>
      </c>
      <c r="E99" t="s">
        <v>43</v>
      </c>
      <c r="F99" s="1">
        <v>44905</v>
      </c>
      <c r="G99" t="s">
        <v>339</v>
      </c>
      <c r="H99" t="s">
        <v>340</v>
      </c>
      <c r="I99" t="s">
        <v>57</v>
      </c>
      <c r="J99">
        <v>21772.341400000001</v>
      </c>
      <c r="K99">
        <v>459</v>
      </c>
      <c r="L99" t="s">
        <v>46</v>
      </c>
      <c r="M99" s="1">
        <v>44926</v>
      </c>
      <c r="N99" t="s">
        <v>32</v>
      </c>
      <c r="O99" t="s">
        <v>24</v>
      </c>
    </row>
    <row r="100" spans="1:15" x14ac:dyDescent="0.3">
      <c r="A100" t="s">
        <v>341</v>
      </c>
      <c r="B100">
        <v>53</v>
      </c>
      <c r="C100" t="s">
        <v>16</v>
      </c>
      <c r="D100" t="s">
        <v>17</v>
      </c>
      <c r="E100" t="s">
        <v>18</v>
      </c>
      <c r="F100" s="1">
        <v>44818</v>
      </c>
      <c r="G100" t="s">
        <v>342</v>
      </c>
      <c r="H100" t="s">
        <v>343</v>
      </c>
      <c r="I100" t="s">
        <v>21</v>
      </c>
      <c r="J100">
        <v>30437.001789999998</v>
      </c>
      <c r="K100">
        <v>208</v>
      </c>
      <c r="L100" t="s">
        <v>46</v>
      </c>
      <c r="M100" s="1">
        <v>44822</v>
      </c>
      <c r="N100" t="s">
        <v>40</v>
      </c>
      <c r="O100" t="s">
        <v>24</v>
      </c>
    </row>
    <row r="101" spans="1:15" x14ac:dyDescent="0.3">
      <c r="A101" t="s">
        <v>344</v>
      </c>
      <c r="B101">
        <v>18</v>
      </c>
      <c r="C101" t="s">
        <v>16</v>
      </c>
      <c r="D101" t="s">
        <v>103</v>
      </c>
      <c r="E101" t="s">
        <v>54</v>
      </c>
      <c r="F101" s="1">
        <v>44852</v>
      </c>
      <c r="G101" t="s">
        <v>345</v>
      </c>
      <c r="H101" t="s">
        <v>346</v>
      </c>
      <c r="I101" t="s">
        <v>57</v>
      </c>
      <c r="J101">
        <v>28837.677049999998</v>
      </c>
      <c r="K101">
        <v>227</v>
      </c>
      <c r="L101" t="s">
        <v>46</v>
      </c>
      <c r="M101" s="1">
        <v>44876</v>
      </c>
      <c r="N101" t="s">
        <v>40</v>
      </c>
      <c r="O101" t="s">
        <v>47</v>
      </c>
    </row>
    <row r="102" spans="1:15" x14ac:dyDescent="0.3">
      <c r="A102" t="s">
        <v>347</v>
      </c>
      <c r="B102">
        <v>69</v>
      </c>
      <c r="C102" t="s">
        <v>16</v>
      </c>
      <c r="D102" t="s">
        <v>42</v>
      </c>
      <c r="E102" t="s">
        <v>93</v>
      </c>
      <c r="F102" s="1">
        <v>44513</v>
      </c>
      <c r="G102" t="s">
        <v>348</v>
      </c>
      <c r="H102" t="s">
        <v>349</v>
      </c>
      <c r="I102" t="s">
        <v>65</v>
      </c>
      <c r="J102">
        <v>25425.727859999999</v>
      </c>
      <c r="K102">
        <v>115</v>
      </c>
      <c r="L102" t="s">
        <v>46</v>
      </c>
      <c r="M102" s="1">
        <v>44521</v>
      </c>
      <c r="N102" t="s">
        <v>40</v>
      </c>
      <c r="O102" t="s">
        <v>24</v>
      </c>
    </row>
    <row r="103" spans="1:15" x14ac:dyDescent="0.3">
      <c r="A103" t="s">
        <v>350</v>
      </c>
      <c r="B103">
        <v>70</v>
      </c>
      <c r="C103" t="s">
        <v>16</v>
      </c>
      <c r="D103" t="s">
        <v>103</v>
      </c>
      <c r="E103" t="s">
        <v>43</v>
      </c>
      <c r="F103" s="1">
        <v>44750</v>
      </c>
      <c r="G103" t="s">
        <v>351</v>
      </c>
      <c r="H103" t="s">
        <v>352</v>
      </c>
      <c r="I103" t="s">
        <v>39</v>
      </c>
      <c r="J103">
        <v>7187.2723459999997</v>
      </c>
      <c r="K103">
        <v>402</v>
      </c>
      <c r="L103" t="s">
        <v>31</v>
      </c>
      <c r="M103" s="1">
        <v>44767</v>
      </c>
      <c r="N103" t="s">
        <v>40</v>
      </c>
      <c r="O103" t="s">
        <v>24</v>
      </c>
    </row>
    <row r="104" spans="1:15" x14ac:dyDescent="0.3">
      <c r="A104" t="s">
        <v>353</v>
      </c>
      <c r="B104">
        <v>21</v>
      </c>
      <c r="C104" t="s">
        <v>16</v>
      </c>
      <c r="D104" t="s">
        <v>26</v>
      </c>
      <c r="E104" t="s">
        <v>43</v>
      </c>
      <c r="F104" s="1">
        <v>45102</v>
      </c>
      <c r="G104" t="s">
        <v>354</v>
      </c>
      <c r="H104" t="s">
        <v>355</v>
      </c>
      <c r="I104" t="s">
        <v>57</v>
      </c>
      <c r="J104">
        <v>3125.7364769999999</v>
      </c>
      <c r="K104">
        <v>442</v>
      </c>
      <c r="L104" t="s">
        <v>22</v>
      </c>
      <c r="M104" s="1">
        <v>45118</v>
      </c>
      <c r="N104" t="s">
        <v>32</v>
      </c>
      <c r="O104" t="s">
        <v>24</v>
      </c>
    </row>
    <row r="105" spans="1:15" x14ac:dyDescent="0.3">
      <c r="A105" t="s">
        <v>356</v>
      </c>
      <c r="B105">
        <v>47</v>
      </c>
      <c r="C105" t="s">
        <v>16</v>
      </c>
      <c r="D105" t="s">
        <v>36</v>
      </c>
      <c r="E105" t="s">
        <v>43</v>
      </c>
      <c r="F105" s="1">
        <v>43655</v>
      </c>
      <c r="G105" t="s">
        <v>357</v>
      </c>
      <c r="H105" t="s">
        <v>358</v>
      </c>
      <c r="I105" t="s">
        <v>30</v>
      </c>
      <c r="J105">
        <v>31516.100729999998</v>
      </c>
      <c r="K105">
        <v>418</v>
      </c>
      <c r="L105" t="s">
        <v>46</v>
      </c>
      <c r="M105" s="1">
        <v>43682</v>
      </c>
      <c r="N105" t="s">
        <v>52</v>
      </c>
      <c r="O105" t="s">
        <v>33</v>
      </c>
    </row>
    <row r="106" spans="1:15" x14ac:dyDescent="0.3">
      <c r="A106" t="s">
        <v>359</v>
      </c>
      <c r="B106">
        <v>85</v>
      </c>
      <c r="C106" t="s">
        <v>16</v>
      </c>
      <c r="D106" t="s">
        <v>36</v>
      </c>
      <c r="E106" t="s">
        <v>93</v>
      </c>
      <c r="F106" s="1">
        <v>44330</v>
      </c>
      <c r="G106" t="s">
        <v>360</v>
      </c>
      <c r="H106" t="s">
        <v>361</v>
      </c>
      <c r="I106" t="s">
        <v>57</v>
      </c>
      <c r="J106">
        <v>40014.762349999997</v>
      </c>
      <c r="K106">
        <v>425</v>
      </c>
      <c r="L106" t="s">
        <v>31</v>
      </c>
      <c r="M106" s="1">
        <v>44350</v>
      </c>
      <c r="N106" t="s">
        <v>40</v>
      </c>
      <c r="O106" t="s">
        <v>47</v>
      </c>
    </row>
    <row r="107" spans="1:15" x14ac:dyDescent="0.3">
      <c r="A107" t="s">
        <v>362</v>
      </c>
      <c r="B107">
        <v>28</v>
      </c>
      <c r="C107" t="s">
        <v>16</v>
      </c>
      <c r="D107" t="s">
        <v>42</v>
      </c>
      <c r="E107" t="s">
        <v>18</v>
      </c>
      <c r="F107" s="1">
        <v>45306</v>
      </c>
      <c r="G107" t="s">
        <v>363</v>
      </c>
      <c r="H107" t="s">
        <v>364</v>
      </c>
      <c r="I107" t="s">
        <v>30</v>
      </c>
      <c r="J107">
        <v>40782.927810000001</v>
      </c>
      <c r="K107">
        <v>373</v>
      </c>
      <c r="L107" t="s">
        <v>46</v>
      </c>
      <c r="M107" s="1">
        <v>45329</v>
      </c>
      <c r="N107" t="s">
        <v>32</v>
      </c>
      <c r="O107" t="s">
        <v>47</v>
      </c>
    </row>
    <row r="108" spans="1:15" x14ac:dyDescent="0.3">
      <c r="A108" t="s">
        <v>365</v>
      </c>
      <c r="B108">
        <v>62</v>
      </c>
      <c r="C108" t="s">
        <v>16</v>
      </c>
      <c r="D108" t="s">
        <v>36</v>
      </c>
      <c r="E108" t="s">
        <v>27</v>
      </c>
      <c r="F108" s="1">
        <v>43738</v>
      </c>
      <c r="G108" t="s">
        <v>366</v>
      </c>
      <c r="H108" t="s">
        <v>367</v>
      </c>
      <c r="I108" t="s">
        <v>65</v>
      </c>
      <c r="J108">
        <v>3879.0846019999999</v>
      </c>
      <c r="K108">
        <v>290</v>
      </c>
      <c r="L108" t="s">
        <v>46</v>
      </c>
      <c r="M108" s="1">
        <v>43753</v>
      </c>
      <c r="N108" t="s">
        <v>40</v>
      </c>
      <c r="O108" t="s">
        <v>33</v>
      </c>
    </row>
    <row r="109" spans="1:15" x14ac:dyDescent="0.3">
      <c r="A109" t="s">
        <v>368</v>
      </c>
      <c r="B109">
        <v>49</v>
      </c>
      <c r="C109" t="s">
        <v>35</v>
      </c>
      <c r="D109" t="s">
        <v>17</v>
      </c>
      <c r="E109" t="s">
        <v>93</v>
      </c>
      <c r="F109" s="1">
        <v>44260</v>
      </c>
      <c r="G109" t="s">
        <v>369</v>
      </c>
      <c r="H109" t="s">
        <v>370</v>
      </c>
      <c r="I109" t="s">
        <v>30</v>
      </c>
      <c r="J109">
        <v>24948.47782</v>
      </c>
      <c r="K109">
        <v>361</v>
      </c>
      <c r="L109" t="s">
        <v>31</v>
      </c>
      <c r="M109" s="1">
        <v>44275</v>
      </c>
      <c r="N109" t="s">
        <v>52</v>
      </c>
      <c r="O109" t="s">
        <v>47</v>
      </c>
    </row>
    <row r="110" spans="1:15" x14ac:dyDescent="0.3">
      <c r="A110" t="s">
        <v>371</v>
      </c>
      <c r="B110">
        <v>52</v>
      </c>
      <c r="C110" t="s">
        <v>16</v>
      </c>
      <c r="D110" t="s">
        <v>59</v>
      </c>
      <c r="E110" t="s">
        <v>76</v>
      </c>
      <c r="F110" s="1">
        <v>44330</v>
      </c>
      <c r="G110" t="s">
        <v>372</v>
      </c>
      <c r="H110" t="s">
        <v>373</v>
      </c>
      <c r="I110" t="s">
        <v>65</v>
      </c>
      <c r="J110">
        <v>37734.742180000001</v>
      </c>
      <c r="K110">
        <v>251</v>
      </c>
      <c r="L110" t="s">
        <v>46</v>
      </c>
      <c r="M110" s="1">
        <v>44353</v>
      </c>
      <c r="N110" t="s">
        <v>52</v>
      </c>
      <c r="O110" t="s">
        <v>47</v>
      </c>
    </row>
    <row r="111" spans="1:15" x14ac:dyDescent="0.3">
      <c r="A111" t="s">
        <v>374</v>
      </c>
      <c r="B111">
        <v>53</v>
      </c>
      <c r="C111" t="s">
        <v>16</v>
      </c>
      <c r="D111" t="s">
        <v>103</v>
      </c>
      <c r="E111" t="s">
        <v>18</v>
      </c>
      <c r="F111" s="1">
        <v>45085</v>
      </c>
      <c r="G111" t="s">
        <v>375</v>
      </c>
      <c r="H111" t="s">
        <v>376</v>
      </c>
      <c r="I111" t="s">
        <v>57</v>
      </c>
      <c r="J111">
        <v>27360.461889999999</v>
      </c>
      <c r="K111">
        <v>231</v>
      </c>
      <c r="L111" t="s">
        <v>46</v>
      </c>
      <c r="M111" s="1">
        <v>45112</v>
      </c>
      <c r="N111" t="s">
        <v>32</v>
      </c>
      <c r="O111" t="s">
        <v>47</v>
      </c>
    </row>
    <row r="112" spans="1:15" x14ac:dyDescent="0.3">
      <c r="A112" t="s">
        <v>377</v>
      </c>
      <c r="B112">
        <v>55</v>
      </c>
      <c r="C112" t="s">
        <v>16</v>
      </c>
      <c r="D112" t="s">
        <v>59</v>
      </c>
      <c r="E112" t="s">
        <v>54</v>
      </c>
      <c r="F112" s="1">
        <v>44694</v>
      </c>
      <c r="G112" t="s">
        <v>378</v>
      </c>
      <c r="H112" t="s">
        <v>379</v>
      </c>
      <c r="I112" t="s">
        <v>39</v>
      </c>
      <c r="J112">
        <v>37405.696530000001</v>
      </c>
      <c r="K112">
        <v>212</v>
      </c>
      <c r="L112" t="s">
        <v>46</v>
      </c>
      <c r="M112" s="1">
        <v>44701</v>
      </c>
      <c r="N112" t="s">
        <v>23</v>
      </c>
      <c r="O112" t="s">
        <v>24</v>
      </c>
    </row>
    <row r="113" spans="1:15" x14ac:dyDescent="0.3">
      <c r="A113" t="s">
        <v>380</v>
      </c>
      <c r="B113">
        <v>18</v>
      </c>
      <c r="C113" t="s">
        <v>16</v>
      </c>
      <c r="D113" t="s">
        <v>17</v>
      </c>
      <c r="E113" t="s">
        <v>93</v>
      </c>
      <c r="F113" s="1">
        <v>44826</v>
      </c>
      <c r="G113" t="s">
        <v>381</v>
      </c>
      <c r="H113" t="s">
        <v>382</v>
      </c>
      <c r="I113" t="s">
        <v>30</v>
      </c>
      <c r="J113">
        <v>31485.973160000001</v>
      </c>
      <c r="K113">
        <v>440</v>
      </c>
      <c r="L113" t="s">
        <v>31</v>
      </c>
      <c r="M113" s="1">
        <v>44848</v>
      </c>
      <c r="N113" t="s">
        <v>32</v>
      </c>
      <c r="O113" t="s">
        <v>24</v>
      </c>
    </row>
    <row r="114" spans="1:15" x14ac:dyDescent="0.3">
      <c r="A114" t="s">
        <v>383</v>
      </c>
      <c r="B114">
        <v>52</v>
      </c>
      <c r="C114" t="s">
        <v>16</v>
      </c>
      <c r="D114" t="s">
        <v>59</v>
      </c>
      <c r="E114" t="s">
        <v>76</v>
      </c>
      <c r="F114" s="1">
        <v>45163</v>
      </c>
      <c r="G114" t="s">
        <v>384</v>
      </c>
      <c r="H114" t="s">
        <v>385</v>
      </c>
      <c r="I114" t="s">
        <v>30</v>
      </c>
      <c r="J114">
        <v>23737.39932</v>
      </c>
      <c r="K114">
        <v>414</v>
      </c>
      <c r="L114" t="s">
        <v>22</v>
      </c>
      <c r="M114" s="1">
        <v>45187</v>
      </c>
      <c r="N114" t="s">
        <v>79</v>
      </c>
      <c r="O114" t="s">
        <v>24</v>
      </c>
    </row>
    <row r="115" spans="1:15" x14ac:dyDescent="0.3">
      <c r="A115" t="s">
        <v>386</v>
      </c>
      <c r="B115">
        <v>67</v>
      </c>
      <c r="C115" t="s">
        <v>16</v>
      </c>
      <c r="D115" t="s">
        <v>59</v>
      </c>
      <c r="E115" t="s">
        <v>27</v>
      </c>
      <c r="F115" s="1">
        <v>43618</v>
      </c>
      <c r="G115" t="s">
        <v>387</v>
      </c>
      <c r="H115" t="s">
        <v>388</v>
      </c>
      <c r="I115" t="s">
        <v>39</v>
      </c>
      <c r="J115">
        <v>3326.3826749999998</v>
      </c>
      <c r="K115">
        <v>424</v>
      </c>
      <c r="L115" t="s">
        <v>31</v>
      </c>
      <c r="M115" s="1">
        <v>43620</v>
      </c>
      <c r="N115" t="s">
        <v>79</v>
      </c>
      <c r="O115" t="s">
        <v>33</v>
      </c>
    </row>
    <row r="116" spans="1:15" x14ac:dyDescent="0.3">
      <c r="A116" t="s">
        <v>389</v>
      </c>
      <c r="B116">
        <v>82</v>
      </c>
      <c r="C116" t="s">
        <v>35</v>
      </c>
      <c r="D116" t="s">
        <v>26</v>
      </c>
      <c r="E116" t="s">
        <v>76</v>
      </c>
      <c r="F116" s="1">
        <v>44519</v>
      </c>
      <c r="G116" t="s">
        <v>390</v>
      </c>
      <c r="H116" t="s">
        <v>391</v>
      </c>
      <c r="I116" t="s">
        <v>30</v>
      </c>
      <c r="J116">
        <v>23067.672170000002</v>
      </c>
      <c r="K116">
        <v>307</v>
      </c>
      <c r="L116" t="s">
        <v>46</v>
      </c>
      <c r="M116" s="1">
        <v>44542</v>
      </c>
      <c r="N116" t="s">
        <v>32</v>
      </c>
      <c r="O116" t="s">
        <v>24</v>
      </c>
    </row>
    <row r="117" spans="1:15" x14ac:dyDescent="0.3">
      <c r="A117" t="s">
        <v>392</v>
      </c>
      <c r="B117">
        <v>37</v>
      </c>
      <c r="C117" t="s">
        <v>35</v>
      </c>
      <c r="D117" t="s">
        <v>42</v>
      </c>
      <c r="E117" t="s">
        <v>54</v>
      </c>
      <c r="F117" s="1">
        <v>43801</v>
      </c>
      <c r="G117" t="s">
        <v>393</v>
      </c>
      <c r="H117" t="s">
        <v>394</v>
      </c>
      <c r="I117" t="s">
        <v>39</v>
      </c>
      <c r="J117">
        <v>8521.2142530000001</v>
      </c>
      <c r="K117">
        <v>476</v>
      </c>
      <c r="L117" t="s">
        <v>46</v>
      </c>
      <c r="M117" s="1">
        <v>43812</v>
      </c>
      <c r="N117" t="s">
        <v>52</v>
      </c>
      <c r="O117" t="s">
        <v>47</v>
      </c>
    </row>
    <row r="118" spans="1:15" x14ac:dyDescent="0.3">
      <c r="A118" t="s">
        <v>395</v>
      </c>
      <c r="B118">
        <v>52</v>
      </c>
      <c r="C118" t="s">
        <v>35</v>
      </c>
      <c r="D118" t="s">
        <v>59</v>
      </c>
      <c r="E118" t="s">
        <v>18</v>
      </c>
      <c r="F118" s="1">
        <v>44064</v>
      </c>
      <c r="G118" t="s">
        <v>396</v>
      </c>
      <c r="H118" t="s">
        <v>397</v>
      </c>
      <c r="I118" t="s">
        <v>65</v>
      </c>
      <c r="J118">
        <v>47985.16734</v>
      </c>
      <c r="K118">
        <v>388</v>
      </c>
      <c r="L118" t="s">
        <v>46</v>
      </c>
      <c r="M118" s="1">
        <v>44080</v>
      </c>
      <c r="N118" t="s">
        <v>52</v>
      </c>
      <c r="O118" t="s">
        <v>33</v>
      </c>
    </row>
    <row r="119" spans="1:15" x14ac:dyDescent="0.3">
      <c r="A119" t="s">
        <v>398</v>
      </c>
      <c r="B119">
        <v>37</v>
      </c>
      <c r="C119" t="s">
        <v>35</v>
      </c>
      <c r="D119" t="s">
        <v>103</v>
      </c>
      <c r="E119" t="s">
        <v>54</v>
      </c>
      <c r="F119" s="1">
        <v>44239</v>
      </c>
      <c r="G119" t="s">
        <v>399</v>
      </c>
      <c r="H119" t="s">
        <v>400</v>
      </c>
      <c r="I119" t="s">
        <v>57</v>
      </c>
      <c r="J119">
        <v>25230.246879999999</v>
      </c>
      <c r="K119">
        <v>326</v>
      </c>
      <c r="L119" t="s">
        <v>46</v>
      </c>
      <c r="M119" s="1">
        <v>44266</v>
      </c>
      <c r="N119" t="s">
        <v>32</v>
      </c>
      <c r="O119" t="s">
        <v>33</v>
      </c>
    </row>
    <row r="120" spans="1:15" x14ac:dyDescent="0.3">
      <c r="A120" t="s">
        <v>401</v>
      </c>
      <c r="B120">
        <v>83</v>
      </c>
      <c r="C120" t="s">
        <v>35</v>
      </c>
      <c r="D120" t="s">
        <v>26</v>
      </c>
      <c r="E120" t="s">
        <v>43</v>
      </c>
      <c r="F120" s="1">
        <v>45304</v>
      </c>
      <c r="G120" t="s">
        <v>402</v>
      </c>
      <c r="H120" t="s">
        <v>403</v>
      </c>
      <c r="I120" t="s">
        <v>21</v>
      </c>
      <c r="J120">
        <v>10352.208490000001</v>
      </c>
      <c r="K120">
        <v>394</v>
      </c>
      <c r="L120" t="s">
        <v>22</v>
      </c>
      <c r="M120" s="1">
        <v>45313</v>
      </c>
      <c r="N120" t="s">
        <v>40</v>
      </c>
      <c r="O120" t="s">
        <v>47</v>
      </c>
    </row>
    <row r="121" spans="1:15" x14ac:dyDescent="0.3">
      <c r="A121" t="s">
        <v>404</v>
      </c>
      <c r="B121">
        <v>33</v>
      </c>
      <c r="C121" t="s">
        <v>16</v>
      </c>
      <c r="D121" t="s">
        <v>125</v>
      </c>
      <c r="E121" t="s">
        <v>93</v>
      </c>
      <c r="F121" s="1">
        <v>44556</v>
      </c>
      <c r="G121" t="s">
        <v>405</v>
      </c>
      <c r="H121" t="s">
        <v>406</v>
      </c>
      <c r="I121" t="s">
        <v>30</v>
      </c>
      <c r="J121">
        <v>6175.8672489999999</v>
      </c>
      <c r="K121">
        <v>138</v>
      </c>
      <c r="L121" t="s">
        <v>22</v>
      </c>
      <c r="M121" s="1">
        <v>44573</v>
      </c>
      <c r="N121" t="s">
        <v>40</v>
      </c>
      <c r="O121" t="s">
        <v>47</v>
      </c>
    </row>
    <row r="122" spans="1:15" x14ac:dyDescent="0.3">
      <c r="A122" t="s">
        <v>407</v>
      </c>
      <c r="B122">
        <v>22</v>
      </c>
      <c r="C122" t="s">
        <v>35</v>
      </c>
      <c r="D122" t="s">
        <v>36</v>
      </c>
      <c r="E122" t="s">
        <v>27</v>
      </c>
      <c r="F122" s="1">
        <v>44795</v>
      </c>
      <c r="G122" t="s">
        <v>408</v>
      </c>
      <c r="H122" t="s">
        <v>409</v>
      </c>
      <c r="I122" t="s">
        <v>21</v>
      </c>
      <c r="J122">
        <v>23499.936249999999</v>
      </c>
      <c r="K122">
        <v>178</v>
      </c>
      <c r="L122" t="s">
        <v>22</v>
      </c>
      <c r="M122" s="1">
        <v>44811</v>
      </c>
      <c r="N122" t="s">
        <v>52</v>
      </c>
      <c r="O122" t="s">
        <v>24</v>
      </c>
    </row>
    <row r="123" spans="1:15" x14ac:dyDescent="0.3">
      <c r="A123" t="s">
        <v>410</v>
      </c>
      <c r="B123">
        <v>19</v>
      </c>
      <c r="C123" t="s">
        <v>35</v>
      </c>
      <c r="D123" t="s">
        <v>103</v>
      </c>
      <c r="E123" t="s">
        <v>18</v>
      </c>
      <c r="F123" s="1">
        <v>44380</v>
      </c>
      <c r="G123" t="s">
        <v>411</v>
      </c>
      <c r="H123" t="s">
        <v>412</v>
      </c>
      <c r="I123" t="s">
        <v>30</v>
      </c>
      <c r="J123">
        <v>33681.572639999999</v>
      </c>
      <c r="K123">
        <v>177</v>
      </c>
      <c r="L123" t="s">
        <v>46</v>
      </c>
      <c r="M123" s="1">
        <v>44408</v>
      </c>
      <c r="N123" t="s">
        <v>32</v>
      </c>
      <c r="O123" t="s">
        <v>47</v>
      </c>
    </row>
    <row r="124" spans="1:15" x14ac:dyDescent="0.3">
      <c r="A124" t="s">
        <v>413</v>
      </c>
      <c r="B124">
        <v>85</v>
      </c>
      <c r="C124" t="s">
        <v>35</v>
      </c>
      <c r="D124" t="s">
        <v>42</v>
      </c>
      <c r="E124" t="s">
        <v>27</v>
      </c>
      <c r="F124" s="1">
        <v>43982</v>
      </c>
      <c r="G124" t="s">
        <v>414</v>
      </c>
      <c r="H124" t="s">
        <v>415</v>
      </c>
      <c r="I124" t="s">
        <v>39</v>
      </c>
      <c r="J124">
        <v>39957.940620000001</v>
      </c>
      <c r="K124">
        <v>211</v>
      </c>
      <c r="L124" t="s">
        <v>22</v>
      </c>
      <c r="M124" s="1">
        <v>43983</v>
      </c>
      <c r="N124" t="s">
        <v>32</v>
      </c>
      <c r="O124" t="s">
        <v>24</v>
      </c>
    </row>
    <row r="125" spans="1:15" x14ac:dyDescent="0.3">
      <c r="A125" t="s">
        <v>416</v>
      </c>
      <c r="B125">
        <v>19</v>
      </c>
      <c r="C125" t="s">
        <v>16</v>
      </c>
      <c r="D125" t="s">
        <v>103</v>
      </c>
      <c r="E125" t="s">
        <v>18</v>
      </c>
      <c r="F125" s="1">
        <v>44130</v>
      </c>
      <c r="G125" t="s">
        <v>417</v>
      </c>
      <c r="H125" t="s">
        <v>418</v>
      </c>
      <c r="I125" t="s">
        <v>57</v>
      </c>
      <c r="J125">
        <v>49833.707719999999</v>
      </c>
      <c r="K125">
        <v>302</v>
      </c>
      <c r="L125" t="s">
        <v>46</v>
      </c>
      <c r="M125" s="1">
        <v>44152</v>
      </c>
      <c r="N125" t="s">
        <v>79</v>
      </c>
      <c r="O125" t="s">
        <v>33</v>
      </c>
    </row>
    <row r="126" spans="1:15" x14ac:dyDescent="0.3">
      <c r="A126" t="s">
        <v>419</v>
      </c>
      <c r="B126">
        <v>50</v>
      </c>
      <c r="C126" t="s">
        <v>35</v>
      </c>
      <c r="D126" t="s">
        <v>17</v>
      </c>
      <c r="E126" t="s">
        <v>54</v>
      </c>
      <c r="F126" s="1">
        <v>44350</v>
      </c>
      <c r="G126" t="s">
        <v>420</v>
      </c>
      <c r="H126" t="s">
        <v>421</v>
      </c>
      <c r="I126" t="s">
        <v>39</v>
      </c>
      <c r="J126">
        <v>48175.466119999997</v>
      </c>
      <c r="K126">
        <v>368</v>
      </c>
      <c r="L126" t="s">
        <v>22</v>
      </c>
      <c r="M126" s="1">
        <v>44378</v>
      </c>
      <c r="N126" t="s">
        <v>23</v>
      </c>
      <c r="O126" t="s">
        <v>33</v>
      </c>
    </row>
    <row r="127" spans="1:15" x14ac:dyDescent="0.3">
      <c r="A127" t="s">
        <v>422</v>
      </c>
      <c r="B127">
        <v>50</v>
      </c>
      <c r="C127" t="s">
        <v>35</v>
      </c>
      <c r="D127" t="s">
        <v>125</v>
      </c>
      <c r="E127" t="s">
        <v>27</v>
      </c>
      <c r="F127" s="1">
        <v>44128</v>
      </c>
      <c r="G127" t="s">
        <v>423</v>
      </c>
      <c r="H127" t="s">
        <v>424</v>
      </c>
      <c r="I127" t="s">
        <v>57</v>
      </c>
      <c r="J127">
        <v>40133.967389999998</v>
      </c>
      <c r="K127">
        <v>130</v>
      </c>
      <c r="L127" t="s">
        <v>22</v>
      </c>
      <c r="M127" s="1">
        <v>44148</v>
      </c>
      <c r="N127" t="s">
        <v>32</v>
      </c>
      <c r="O127" t="s">
        <v>24</v>
      </c>
    </row>
    <row r="128" spans="1:15" x14ac:dyDescent="0.3">
      <c r="A128" t="s">
        <v>425</v>
      </c>
      <c r="B128">
        <v>40</v>
      </c>
      <c r="C128" t="s">
        <v>16</v>
      </c>
      <c r="D128" t="s">
        <v>42</v>
      </c>
      <c r="E128" t="s">
        <v>27</v>
      </c>
      <c r="F128" s="1">
        <v>43704</v>
      </c>
      <c r="G128" t="s">
        <v>426</v>
      </c>
      <c r="H128" t="s">
        <v>427</v>
      </c>
      <c r="I128" t="s">
        <v>39</v>
      </c>
      <c r="J128">
        <v>9585.9521280000008</v>
      </c>
      <c r="K128">
        <v>424</v>
      </c>
      <c r="L128" t="s">
        <v>22</v>
      </c>
      <c r="M128" s="1">
        <v>43714</v>
      </c>
      <c r="N128" t="s">
        <v>79</v>
      </c>
      <c r="O128" t="s">
        <v>33</v>
      </c>
    </row>
    <row r="129" spans="1:15" x14ac:dyDescent="0.3">
      <c r="A129" t="s">
        <v>428</v>
      </c>
      <c r="B129">
        <v>57</v>
      </c>
      <c r="C129" t="s">
        <v>16</v>
      </c>
      <c r="D129" t="s">
        <v>59</v>
      </c>
      <c r="E129" t="s">
        <v>27</v>
      </c>
      <c r="F129" s="1">
        <v>44530</v>
      </c>
      <c r="G129" t="s">
        <v>429</v>
      </c>
      <c r="H129" t="s">
        <v>430</v>
      </c>
      <c r="I129" t="s">
        <v>30</v>
      </c>
      <c r="J129">
        <v>40693.354220000001</v>
      </c>
      <c r="K129">
        <v>430</v>
      </c>
      <c r="L129" t="s">
        <v>31</v>
      </c>
      <c r="M129" s="1">
        <v>44539</v>
      </c>
      <c r="N129" t="s">
        <v>40</v>
      </c>
      <c r="O129" t="s">
        <v>47</v>
      </c>
    </row>
    <row r="130" spans="1:15" x14ac:dyDescent="0.3">
      <c r="A130" t="s">
        <v>431</v>
      </c>
      <c r="B130">
        <v>82</v>
      </c>
      <c r="C130" t="s">
        <v>16</v>
      </c>
      <c r="D130" t="s">
        <v>49</v>
      </c>
      <c r="E130" t="s">
        <v>27</v>
      </c>
      <c r="F130" s="1">
        <v>45214</v>
      </c>
      <c r="G130" t="s">
        <v>432</v>
      </c>
      <c r="H130" t="s">
        <v>433</v>
      </c>
      <c r="I130" t="s">
        <v>57</v>
      </c>
      <c r="J130">
        <v>16399.265759999998</v>
      </c>
      <c r="K130">
        <v>133</v>
      </c>
      <c r="L130" t="s">
        <v>31</v>
      </c>
      <c r="M130" s="1">
        <v>45238</v>
      </c>
      <c r="N130" t="s">
        <v>52</v>
      </c>
      <c r="O130" t="s">
        <v>47</v>
      </c>
    </row>
    <row r="131" spans="1:15" x14ac:dyDescent="0.3">
      <c r="A131" t="s">
        <v>434</v>
      </c>
      <c r="B131">
        <v>20</v>
      </c>
      <c r="C131" t="s">
        <v>16</v>
      </c>
      <c r="D131" t="s">
        <v>49</v>
      </c>
      <c r="E131" t="s">
        <v>43</v>
      </c>
      <c r="F131" s="1">
        <v>45368</v>
      </c>
      <c r="G131" t="s">
        <v>435</v>
      </c>
      <c r="H131" t="s">
        <v>436</v>
      </c>
      <c r="I131" t="s">
        <v>21</v>
      </c>
      <c r="J131">
        <v>44939.565519999996</v>
      </c>
      <c r="K131">
        <v>430</v>
      </c>
      <c r="L131" t="s">
        <v>31</v>
      </c>
      <c r="M131" s="1">
        <v>45379</v>
      </c>
      <c r="N131" t="s">
        <v>32</v>
      </c>
      <c r="O131" t="s">
        <v>33</v>
      </c>
    </row>
    <row r="132" spans="1:15" x14ac:dyDescent="0.3">
      <c r="A132" t="s">
        <v>437</v>
      </c>
      <c r="B132">
        <v>20</v>
      </c>
      <c r="C132" t="s">
        <v>16</v>
      </c>
      <c r="D132" t="s">
        <v>103</v>
      </c>
      <c r="E132" t="s">
        <v>76</v>
      </c>
      <c r="F132" s="1">
        <v>43751</v>
      </c>
      <c r="G132" t="s">
        <v>438</v>
      </c>
      <c r="H132" t="s">
        <v>439</v>
      </c>
      <c r="I132" t="s">
        <v>21</v>
      </c>
      <c r="J132">
        <v>10663.91001</v>
      </c>
      <c r="K132">
        <v>104</v>
      </c>
      <c r="L132" t="s">
        <v>31</v>
      </c>
      <c r="M132" s="1">
        <v>43754</v>
      </c>
      <c r="N132" t="s">
        <v>40</v>
      </c>
      <c r="O132" t="s">
        <v>24</v>
      </c>
    </row>
    <row r="133" spans="1:15" x14ac:dyDescent="0.3">
      <c r="A133" t="s">
        <v>440</v>
      </c>
      <c r="B133">
        <v>19</v>
      </c>
      <c r="C133" t="s">
        <v>35</v>
      </c>
      <c r="D133" t="s">
        <v>36</v>
      </c>
      <c r="E133" t="s">
        <v>76</v>
      </c>
      <c r="F133" s="1">
        <v>43892</v>
      </c>
      <c r="G133" t="s">
        <v>441</v>
      </c>
      <c r="H133" t="s">
        <v>442</v>
      </c>
      <c r="I133" t="s">
        <v>65</v>
      </c>
      <c r="J133">
        <v>22564.787980000001</v>
      </c>
      <c r="K133">
        <v>408</v>
      </c>
      <c r="L133" t="s">
        <v>46</v>
      </c>
      <c r="M133" s="1">
        <v>43897</v>
      </c>
      <c r="N133" t="s">
        <v>23</v>
      </c>
      <c r="O133" t="s">
        <v>24</v>
      </c>
    </row>
    <row r="134" spans="1:15" x14ac:dyDescent="0.3">
      <c r="A134" t="s">
        <v>443</v>
      </c>
      <c r="B134">
        <v>32</v>
      </c>
      <c r="C134" t="s">
        <v>35</v>
      </c>
      <c r="D134" t="s">
        <v>59</v>
      </c>
      <c r="E134" t="s">
        <v>18</v>
      </c>
      <c r="F134" s="1">
        <v>43774</v>
      </c>
      <c r="G134" t="s">
        <v>444</v>
      </c>
      <c r="H134" t="s">
        <v>445</v>
      </c>
      <c r="I134" t="s">
        <v>39</v>
      </c>
      <c r="J134">
        <v>-502.50781269999999</v>
      </c>
      <c r="K134">
        <v>376</v>
      </c>
      <c r="L134" t="s">
        <v>22</v>
      </c>
      <c r="M134" s="1">
        <v>43792</v>
      </c>
      <c r="N134" t="s">
        <v>52</v>
      </c>
      <c r="O134" t="s">
        <v>24</v>
      </c>
    </row>
    <row r="135" spans="1:15" x14ac:dyDescent="0.3">
      <c r="A135" t="s">
        <v>446</v>
      </c>
      <c r="B135">
        <v>55</v>
      </c>
      <c r="C135" t="s">
        <v>16</v>
      </c>
      <c r="D135" t="s">
        <v>17</v>
      </c>
      <c r="E135" t="s">
        <v>43</v>
      </c>
      <c r="F135" s="1">
        <v>44234</v>
      </c>
      <c r="G135" t="s">
        <v>447</v>
      </c>
      <c r="H135" t="s">
        <v>448</v>
      </c>
      <c r="I135" t="s">
        <v>65</v>
      </c>
      <c r="J135">
        <v>34758.25675</v>
      </c>
      <c r="K135">
        <v>331</v>
      </c>
      <c r="L135" t="s">
        <v>31</v>
      </c>
      <c r="M135" s="1">
        <v>44260</v>
      </c>
      <c r="N135" t="s">
        <v>40</v>
      </c>
      <c r="O135" t="s">
        <v>24</v>
      </c>
    </row>
    <row r="136" spans="1:15" x14ac:dyDescent="0.3">
      <c r="A136" t="s">
        <v>449</v>
      </c>
      <c r="B136">
        <v>81</v>
      </c>
      <c r="C136" t="s">
        <v>16</v>
      </c>
      <c r="D136" t="s">
        <v>103</v>
      </c>
      <c r="E136" t="s">
        <v>76</v>
      </c>
      <c r="F136" s="1">
        <v>44494</v>
      </c>
      <c r="G136" t="s">
        <v>450</v>
      </c>
      <c r="H136" t="s">
        <v>451</v>
      </c>
      <c r="I136" t="s">
        <v>57</v>
      </c>
      <c r="J136">
        <v>46377.865149999998</v>
      </c>
      <c r="K136">
        <v>275</v>
      </c>
      <c r="L136" t="s">
        <v>22</v>
      </c>
      <c r="M136" s="1">
        <v>44522</v>
      </c>
      <c r="N136" t="s">
        <v>79</v>
      </c>
      <c r="O136" t="s">
        <v>24</v>
      </c>
    </row>
    <row r="137" spans="1:15" x14ac:dyDescent="0.3">
      <c r="A137" t="s">
        <v>452</v>
      </c>
      <c r="B137">
        <v>26</v>
      </c>
      <c r="C137" t="s">
        <v>16</v>
      </c>
      <c r="D137" t="s">
        <v>125</v>
      </c>
      <c r="E137" t="s">
        <v>76</v>
      </c>
      <c r="F137" s="1">
        <v>44766</v>
      </c>
      <c r="G137" t="s">
        <v>453</v>
      </c>
      <c r="H137" t="s">
        <v>454</v>
      </c>
      <c r="I137" t="s">
        <v>21</v>
      </c>
      <c r="J137">
        <v>7555.7729650000001</v>
      </c>
      <c r="K137">
        <v>425</v>
      </c>
      <c r="L137" t="s">
        <v>46</v>
      </c>
      <c r="M137" s="1">
        <v>44773</v>
      </c>
      <c r="N137" t="s">
        <v>23</v>
      </c>
      <c r="O137" t="s">
        <v>47</v>
      </c>
    </row>
    <row r="138" spans="1:15" x14ac:dyDescent="0.3">
      <c r="A138" t="s">
        <v>455</v>
      </c>
      <c r="B138">
        <v>54</v>
      </c>
      <c r="C138" t="s">
        <v>35</v>
      </c>
      <c r="D138" t="s">
        <v>49</v>
      </c>
      <c r="E138" t="s">
        <v>18</v>
      </c>
      <c r="F138" s="1">
        <v>43894</v>
      </c>
      <c r="G138" t="s">
        <v>456</v>
      </c>
      <c r="H138" t="s">
        <v>457</v>
      </c>
      <c r="I138" t="s">
        <v>57</v>
      </c>
      <c r="J138">
        <v>14299.99345</v>
      </c>
      <c r="K138">
        <v>480</v>
      </c>
      <c r="L138" t="s">
        <v>31</v>
      </c>
      <c r="M138" s="1">
        <v>43895</v>
      </c>
      <c r="N138" t="s">
        <v>79</v>
      </c>
      <c r="O138" t="s">
        <v>47</v>
      </c>
    </row>
    <row r="139" spans="1:15" x14ac:dyDescent="0.3">
      <c r="A139" t="s">
        <v>458</v>
      </c>
      <c r="B139">
        <v>57</v>
      </c>
      <c r="C139" t="s">
        <v>16</v>
      </c>
      <c r="D139" t="s">
        <v>17</v>
      </c>
      <c r="E139" t="s">
        <v>93</v>
      </c>
      <c r="F139" s="1">
        <v>44409</v>
      </c>
      <c r="G139" t="s">
        <v>459</v>
      </c>
      <c r="H139" t="s">
        <v>460</v>
      </c>
      <c r="I139" t="s">
        <v>65</v>
      </c>
      <c r="J139">
        <v>46429.508199999997</v>
      </c>
      <c r="K139">
        <v>233</v>
      </c>
      <c r="L139" t="s">
        <v>46</v>
      </c>
      <c r="M139" s="1">
        <v>44427</v>
      </c>
      <c r="N139" t="s">
        <v>23</v>
      </c>
      <c r="O139" t="s">
        <v>33</v>
      </c>
    </row>
    <row r="140" spans="1:15" x14ac:dyDescent="0.3">
      <c r="A140" t="s">
        <v>461</v>
      </c>
      <c r="B140">
        <v>38</v>
      </c>
      <c r="C140" t="s">
        <v>35</v>
      </c>
      <c r="D140" t="s">
        <v>49</v>
      </c>
      <c r="E140" t="s">
        <v>54</v>
      </c>
      <c r="F140" s="1">
        <v>43854</v>
      </c>
      <c r="G140" t="s">
        <v>462</v>
      </c>
      <c r="H140" t="s">
        <v>463</v>
      </c>
      <c r="I140" t="s">
        <v>30</v>
      </c>
      <c r="J140">
        <v>17978.95074</v>
      </c>
      <c r="K140">
        <v>384</v>
      </c>
      <c r="L140" t="s">
        <v>46</v>
      </c>
      <c r="M140" s="1">
        <v>43873</v>
      </c>
      <c r="N140" t="s">
        <v>32</v>
      </c>
      <c r="O140" t="s">
        <v>47</v>
      </c>
    </row>
    <row r="141" spans="1:15" x14ac:dyDescent="0.3">
      <c r="A141" t="s">
        <v>464</v>
      </c>
      <c r="B141">
        <v>54</v>
      </c>
      <c r="C141" t="s">
        <v>16</v>
      </c>
      <c r="D141" t="s">
        <v>42</v>
      </c>
      <c r="E141" t="s">
        <v>27</v>
      </c>
      <c r="F141" s="1">
        <v>44407</v>
      </c>
      <c r="G141" t="s">
        <v>465</v>
      </c>
      <c r="H141" t="s">
        <v>466</v>
      </c>
      <c r="I141" t="s">
        <v>30</v>
      </c>
      <c r="J141">
        <v>32629.067749999998</v>
      </c>
      <c r="K141">
        <v>380</v>
      </c>
      <c r="L141" t="s">
        <v>46</v>
      </c>
      <c r="M141" s="1">
        <v>44421</v>
      </c>
      <c r="N141" t="s">
        <v>23</v>
      </c>
      <c r="O141" t="s">
        <v>24</v>
      </c>
    </row>
    <row r="142" spans="1:15" x14ac:dyDescent="0.3">
      <c r="A142" t="s">
        <v>467</v>
      </c>
      <c r="B142">
        <v>42</v>
      </c>
      <c r="C142" t="s">
        <v>16</v>
      </c>
      <c r="D142" t="s">
        <v>26</v>
      </c>
      <c r="E142" t="s">
        <v>43</v>
      </c>
      <c r="F142" s="1">
        <v>45295</v>
      </c>
      <c r="G142" t="s">
        <v>468</v>
      </c>
      <c r="H142" t="s">
        <v>469</v>
      </c>
      <c r="I142" t="s">
        <v>30</v>
      </c>
      <c r="J142">
        <v>22356.226490000001</v>
      </c>
      <c r="K142">
        <v>310</v>
      </c>
      <c r="L142" t="s">
        <v>22</v>
      </c>
      <c r="M142" s="1">
        <v>45325</v>
      </c>
      <c r="N142" t="s">
        <v>40</v>
      </c>
      <c r="O142" t="s">
        <v>33</v>
      </c>
    </row>
    <row r="143" spans="1:15" x14ac:dyDescent="0.3">
      <c r="A143" t="s">
        <v>470</v>
      </c>
      <c r="B143">
        <v>20</v>
      </c>
      <c r="C143" t="s">
        <v>16</v>
      </c>
      <c r="D143" t="s">
        <v>125</v>
      </c>
      <c r="E143" t="s">
        <v>43</v>
      </c>
      <c r="F143" s="1">
        <v>45296</v>
      </c>
      <c r="G143" t="s">
        <v>471</v>
      </c>
      <c r="H143" t="s">
        <v>472</v>
      </c>
      <c r="I143" t="s">
        <v>30</v>
      </c>
      <c r="J143">
        <v>48995.980589999999</v>
      </c>
      <c r="K143">
        <v>406</v>
      </c>
      <c r="L143" t="s">
        <v>46</v>
      </c>
      <c r="M143" s="1">
        <v>45326</v>
      </c>
      <c r="N143" t="s">
        <v>79</v>
      </c>
      <c r="O143" t="s">
        <v>24</v>
      </c>
    </row>
    <row r="144" spans="1:15" x14ac:dyDescent="0.3">
      <c r="A144" t="s">
        <v>473</v>
      </c>
      <c r="B144">
        <v>44</v>
      </c>
      <c r="C144" t="s">
        <v>35</v>
      </c>
      <c r="D144" t="s">
        <v>125</v>
      </c>
      <c r="E144" t="s">
        <v>76</v>
      </c>
      <c r="F144" s="1">
        <v>44054</v>
      </c>
      <c r="G144" t="s">
        <v>474</v>
      </c>
      <c r="H144" t="s">
        <v>475</v>
      </c>
      <c r="I144" t="s">
        <v>57</v>
      </c>
      <c r="J144">
        <v>4532.4835540000004</v>
      </c>
      <c r="K144">
        <v>213</v>
      </c>
      <c r="L144" t="s">
        <v>31</v>
      </c>
      <c r="M144" s="1">
        <v>44078</v>
      </c>
      <c r="N144" t="s">
        <v>79</v>
      </c>
      <c r="O144" t="s">
        <v>33</v>
      </c>
    </row>
    <row r="145" spans="1:15" x14ac:dyDescent="0.3">
      <c r="A145" t="s">
        <v>476</v>
      </c>
      <c r="B145">
        <v>54</v>
      </c>
      <c r="C145" t="s">
        <v>16</v>
      </c>
      <c r="D145" t="s">
        <v>103</v>
      </c>
      <c r="E145" t="s">
        <v>43</v>
      </c>
      <c r="F145" s="1">
        <v>44729</v>
      </c>
      <c r="G145" t="s">
        <v>477</v>
      </c>
      <c r="H145" t="s">
        <v>478</v>
      </c>
      <c r="I145" t="s">
        <v>30</v>
      </c>
      <c r="J145">
        <v>35521.582150000002</v>
      </c>
      <c r="K145">
        <v>130</v>
      </c>
      <c r="L145" t="s">
        <v>46</v>
      </c>
      <c r="M145" s="1">
        <v>44736</v>
      </c>
      <c r="N145" t="s">
        <v>23</v>
      </c>
      <c r="O145" t="s">
        <v>24</v>
      </c>
    </row>
    <row r="146" spans="1:15" x14ac:dyDescent="0.3">
      <c r="A146" t="s">
        <v>479</v>
      </c>
      <c r="B146">
        <v>21</v>
      </c>
      <c r="C146" t="s">
        <v>35</v>
      </c>
      <c r="D146" t="s">
        <v>59</v>
      </c>
      <c r="E146" t="s">
        <v>93</v>
      </c>
      <c r="F146" s="1">
        <v>44653</v>
      </c>
      <c r="G146" t="s">
        <v>480</v>
      </c>
      <c r="H146" t="s">
        <v>481</v>
      </c>
      <c r="I146" t="s">
        <v>39</v>
      </c>
      <c r="J146">
        <v>1589.5035230000001</v>
      </c>
      <c r="K146">
        <v>244</v>
      </c>
      <c r="L146" t="s">
        <v>31</v>
      </c>
      <c r="M146" s="1">
        <v>44660</v>
      </c>
      <c r="N146" t="s">
        <v>40</v>
      </c>
      <c r="O146" t="s">
        <v>33</v>
      </c>
    </row>
    <row r="147" spans="1:15" x14ac:dyDescent="0.3">
      <c r="A147" t="s">
        <v>482</v>
      </c>
      <c r="B147">
        <v>45</v>
      </c>
      <c r="C147" t="s">
        <v>35</v>
      </c>
      <c r="D147" t="s">
        <v>49</v>
      </c>
      <c r="E147" t="s">
        <v>43</v>
      </c>
      <c r="F147" s="1">
        <v>43985</v>
      </c>
      <c r="G147" t="s">
        <v>483</v>
      </c>
      <c r="H147" t="s">
        <v>484</v>
      </c>
      <c r="I147" t="s">
        <v>30</v>
      </c>
      <c r="J147">
        <v>22950.651140000002</v>
      </c>
      <c r="K147">
        <v>233</v>
      </c>
      <c r="L147" t="s">
        <v>46</v>
      </c>
      <c r="M147" s="1">
        <v>44004</v>
      </c>
      <c r="N147" t="s">
        <v>32</v>
      </c>
      <c r="O147" t="s">
        <v>47</v>
      </c>
    </row>
    <row r="148" spans="1:15" x14ac:dyDescent="0.3">
      <c r="A148" t="s">
        <v>485</v>
      </c>
      <c r="B148">
        <v>68</v>
      </c>
      <c r="C148" t="s">
        <v>35</v>
      </c>
      <c r="D148" t="s">
        <v>103</v>
      </c>
      <c r="E148" t="s">
        <v>93</v>
      </c>
      <c r="F148" s="1">
        <v>43693</v>
      </c>
      <c r="G148" t="s">
        <v>486</v>
      </c>
      <c r="H148" t="s">
        <v>487</v>
      </c>
      <c r="I148" t="s">
        <v>39</v>
      </c>
      <c r="J148">
        <v>2678.9539359999999</v>
      </c>
      <c r="K148">
        <v>427</v>
      </c>
      <c r="L148" t="s">
        <v>22</v>
      </c>
      <c r="M148" s="1">
        <v>43698</v>
      </c>
      <c r="N148" t="s">
        <v>23</v>
      </c>
      <c r="O148" t="s">
        <v>47</v>
      </c>
    </row>
    <row r="149" spans="1:15" x14ac:dyDescent="0.3">
      <c r="A149" t="s">
        <v>488</v>
      </c>
      <c r="B149">
        <v>27</v>
      </c>
      <c r="C149" t="s">
        <v>16</v>
      </c>
      <c r="D149" t="s">
        <v>26</v>
      </c>
      <c r="E149" t="s">
        <v>76</v>
      </c>
      <c r="F149" s="1">
        <v>45344</v>
      </c>
      <c r="G149" t="s">
        <v>489</v>
      </c>
      <c r="H149" t="s">
        <v>490</v>
      </c>
      <c r="I149" t="s">
        <v>57</v>
      </c>
      <c r="J149">
        <v>39615.600659999996</v>
      </c>
      <c r="K149">
        <v>500</v>
      </c>
      <c r="L149" t="s">
        <v>22</v>
      </c>
      <c r="M149" s="1">
        <v>45346</v>
      </c>
      <c r="N149" t="s">
        <v>52</v>
      </c>
      <c r="O149" t="s">
        <v>33</v>
      </c>
    </row>
    <row r="150" spans="1:15" x14ac:dyDescent="0.3">
      <c r="A150" t="s">
        <v>491</v>
      </c>
      <c r="B150">
        <v>42</v>
      </c>
      <c r="C150" t="s">
        <v>16</v>
      </c>
      <c r="D150" t="s">
        <v>59</v>
      </c>
      <c r="E150" t="s">
        <v>54</v>
      </c>
      <c r="F150" s="1">
        <v>44322</v>
      </c>
      <c r="G150" t="s">
        <v>492</v>
      </c>
      <c r="H150" t="s">
        <v>493</v>
      </c>
      <c r="I150" t="s">
        <v>30</v>
      </c>
      <c r="J150">
        <v>13355.782090000001</v>
      </c>
      <c r="K150">
        <v>451</v>
      </c>
      <c r="L150" t="s">
        <v>46</v>
      </c>
      <c r="M150" s="1">
        <v>44345</v>
      </c>
      <c r="N150" t="s">
        <v>32</v>
      </c>
      <c r="O150" t="s">
        <v>33</v>
      </c>
    </row>
    <row r="151" spans="1:15" x14ac:dyDescent="0.3">
      <c r="A151" t="s">
        <v>494</v>
      </c>
      <c r="B151">
        <v>27</v>
      </c>
      <c r="C151" t="s">
        <v>35</v>
      </c>
      <c r="D151" t="s">
        <v>17</v>
      </c>
      <c r="E151" t="s">
        <v>54</v>
      </c>
      <c r="F151" s="1">
        <v>44496</v>
      </c>
      <c r="G151" t="s">
        <v>495</v>
      </c>
      <c r="H151" t="s">
        <v>496</v>
      </c>
      <c r="I151" t="s">
        <v>39</v>
      </c>
      <c r="J151">
        <v>32561.530409999999</v>
      </c>
      <c r="K151">
        <v>485</v>
      </c>
      <c r="L151" t="s">
        <v>46</v>
      </c>
      <c r="M151" s="1">
        <v>44504</v>
      </c>
      <c r="N151" t="s">
        <v>32</v>
      </c>
      <c r="O151" t="s">
        <v>33</v>
      </c>
    </row>
    <row r="152" spans="1:15" x14ac:dyDescent="0.3">
      <c r="A152" t="s">
        <v>497</v>
      </c>
      <c r="B152">
        <v>80</v>
      </c>
      <c r="C152" t="s">
        <v>16</v>
      </c>
      <c r="D152" t="s">
        <v>103</v>
      </c>
      <c r="E152" t="s">
        <v>54</v>
      </c>
      <c r="F152" s="1">
        <v>44075</v>
      </c>
      <c r="G152" t="s">
        <v>498</v>
      </c>
      <c r="H152" t="s">
        <v>499</v>
      </c>
      <c r="I152" t="s">
        <v>30</v>
      </c>
      <c r="J152">
        <v>29221.340209999998</v>
      </c>
      <c r="K152">
        <v>208</v>
      </c>
      <c r="L152" t="s">
        <v>31</v>
      </c>
      <c r="M152" s="1">
        <v>44091</v>
      </c>
      <c r="N152" t="s">
        <v>23</v>
      </c>
      <c r="O152" t="s">
        <v>33</v>
      </c>
    </row>
    <row r="153" spans="1:15" x14ac:dyDescent="0.3">
      <c r="A153" t="s">
        <v>500</v>
      </c>
      <c r="B153">
        <v>21</v>
      </c>
      <c r="C153" t="s">
        <v>16</v>
      </c>
      <c r="D153" t="s">
        <v>42</v>
      </c>
      <c r="E153" t="s">
        <v>43</v>
      </c>
      <c r="F153" s="1">
        <v>44342</v>
      </c>
      <c r="G153" t="s">
        <v>501</v>
      </c>
      <c r="H153" t="s">
        <v>502</v>
      </c>
      <c r="I153" t="s">
        <v>30</v>
      </c>
      <c r="J153">
        <v>12880.652410000001</v>
      </c>
      <c r="K153">
        <v>267</v>
      </c>
      <c r="L153" t="s">
        <v>22</v>
      </c>
      <c r="M153" s="1">
        <v>44369</v>
      </c>
      <c r="N153" t="s">
        <v>52</v>
      </c>
      <c r="O153" t="s">
        <v>24</v>
      </c>
    </row>
    <row r="154" spans="1:15" x14ac:dyDescent="0.3">
      <c r="A154" t="s">
        <v>503</v>
      </c>
      <c r="B154">
        <v>84</v>
      </c>
      <c r="C154" t="s">
        <v>35</v>
      </c>
      <c r="D154" t="s">
        <v>36</v>
      </c>
      <c r="E154" t="s">
        <v>27</v>
      </c>
      <c r="F154" s="1">
        <v>44734</v>
      </c>
      <c r="G154" t="s">
        <v>504</v>
      </c>
      <c r="H154" t="s">
        <v>505</v>
      </c>
      <c r="I154" t="s">
        <v>39</v>
      </c>
      <c r="J154">
        <v>15475.40324</v>
      </c>
      <c r="K154">
        <v>154</v>
      </c>
      <c r="L154" t="s">
        <v>46</v>
      </c>
      <c r="M154" s="1">
        <v>44764</v>
      </c>
      <c r="N154" t="s">
        <v>32</v>
      </c>
      <c r="O154" t="s">
        <v>47</v>
      </c>
    </row>
    <row r="155" spans="1:15" x14ac:dyDescent="0.3">
      <c r="A155" t="s">
        <v>506</v>
      </c>
      <c r="B155">
        <v>67</v>
      </c>
      <c r="C155" t="s">
        <v>35</v>
      </c>
      <c r="D155" t="s">
        <v>125</v>
      </c>
      <c r="E155" t="s">
        <v>93</v>
      </c>
      <c r="F155" s="1">
        <v>45063</v>
      </c>
      <c r="G155" t="s">
        <v>507</v>
      </c>
      <c r="H155" t="s">
        <v>508</v>
      </c>
      <c r="I155" t="s">
        <v>30</v>
      </c>
      <c r="J155">
        <v>27309.436760000001</v>
      </c>
      <c r="K155">
        <v>293</v>
      </c>
      <c r="L155" t="s">
        <v>46</v>
      </c>
      <c r="M155" s="1">
        <v>45077</v>
      </c>
      <c r="N155" t="s">
        <v>40</v>
      </c>
      <c r="O155" t="s">
        <v>47</v>
      </c>
    </row>
    <row r="156" spans="1:15" x14ac:dyDescent="0.3">
      <c r="A156" t="s">
        <v>509</v>
      </c>
      <c r="B156">
        <v>66</v>
      </c>
      <c r="C156" t="s">
        <v>16</v>
      </c>
      <c r="D156" t="s">
        <v>49</v>
      </c>
      <c r="E156" t="s">
        <v>93</v>
      </c>
      <c r="F156" s="1">
        <v>44370</v>
      </c>
      <c r="G156" t="s">
        <v>510</v>
      </c>
      <c r="H156" t="s">
        <v>511</v>
      </c>
      <c r="I156" t="s">
        <v>30</v>
      </c>
      <c r="J156">
        <v>1897.8917269999999</v>
      </c>
      <c r="K156">
        <v>196</v>
      </c>
      <c r="L156" t="s">
        <v>46</v>
      </c>
      <c r="M156" s="1">
        <v>44386</v>
      </c>
      <c r="N156" t="s">
        <v>32</v>
      </c>
      <c r="O156" t="s">
        <v>47</v>
      </c>
    </row>
    <row r="157" spans="1:15" x14ac:dyDescent="0.3">
      <c r="A157" t="s">
        <v>512</v>
      </c>
      <c r="B157">
        <v>37</v>
      </c>
      <c r="C157" t="s">
        <v>35</v>
      </c>
      <c r="D157" t="s">
        <v>36</v>
      </c>
      <c r="E157" t="s">
        <v>18</v>
      </c>
      <c r="F157" s="1">
        <v>45247</v>
      </c>
      <c r="G157" t="s">
        <v>513</v>
      </c>
      <c r="H157" t="s">
        <v>514</v>
      </c>
      <c r="I157" t="s">
        <v>39</v>
      </c>
      <c r="J157">
        <v>31308.206010000002</v>
      </c>
      <c r="K157">
        <v>466</v>
      </c>
      <c r="L157" t="s">
        <v>22</v>
      </c>
      <c r="M157" s="1">
        <v>45255</v>
      </c>
      <c r="N157" t="s">
        <v>52</v>
      </c>
      <c r="O157" t="s">
        <v>24</v>
      </c>
    </row>
    <row r="158" spans="1:15" x14ac:dyDescent="0.3">
      <c r="A158" t="s">
        <v>515</v>
      </c>
      <c r="B158">
        <v>30</v>
      </c>
      <c r="C158" t="s">
        <v>35</v>
      </c>
      <c r="D158" t="s">
        <v>36</v>
      </c>
      <c r="E158" t="s">
        <v>43</v>
      </c>
      <c r="F158" s="1">
        <v>44115</v>
      </c>
      <c r="G158" t="s">
        <v>516</v>
      </c>
      <c r="H158" t="s">
        <v>517</v>
      </c>
      <c r="I158" t="s">
        <v>30</v>
      </c>
      <c r="J158">
        <v>42792.241280000002</v>
      </c>
      <c r="K158">
        <v>468</v>
      </c>
      <c r="L158" t="s">
        <v>46</v>
      </c>
      <c r="M158" s="1">
        <v>44125</v>
      </c>
      <c r="N158" t="s">
        <v>32</v>
      </c>
      <c r="O158" t="s">
        <v>47</v>
      </c>
    </row>
    <row r="159" spans="1:15" x14ac:dyDescent="0.3">
      <c r="A159" t="s">
        <v>518</v>
      </c>
      <c r="B159">
        <v>78</v>
      </c>
      <c r="C159" t="s">
        <v>16</v>
      </c>
      <c r="D159" t="s">
        <v>42</v>
      </c>
      <c r="E159" t="s">
        <v>43</v>
      </c>
      <c r="F159" s="1">
        <v>44418</v>
      </c>
      <c r="G159" t="s">
        <v>519</v>
      </c>
      <c r="H159" t="s">
        <v>520</v>
      </c>
      <c r="I159" t="s">
        <v>65</v>
      </c>
      <c r="J159">
        <v>14377.33432</v>
      </c>
      <c r="K159">
        <v>114</v>
      </c>
      <c r="L159" t="s">
        <v>31</v>
      </c>
      <c r="M159" s="1">
        <v>44435</v>
      </c>
      <c r="N159" t="s">
        <v>52</v>
      </c>
      <c r="O159" t="s">
        <v>47</v>
      </c>
    </row>
    <row r="160" spans="1:15" x14ac:dyDescent="0.3">
      <c r="A160" t="s">
        <v>521</v>
      </c>
      <c r="B160">
        <v>39</v>
      </c>
      <c r="C160" t="s">
        <v>35</v>
      </c>
      <c r="D160" t="s">
        <v>26</v>
      </c>
      <c r="E160" t="s">
        <v>43</v>
      </c>
      <c r="F160" s="1">
        <v>45167</v>
      </c>
      <c r="G160" t="s">
        <v>522</v>
      </c>
      <c r="H160" t="s">
        <v>523</v>
      </c>
      <c r="I160" t="s">
        <v>57</v>
      </c>
      <c r="J160">
        <v>1150.874986</v>
      </c>
      <c r="K160">
        <v>408</v>
      </c>
      <c r="L160" t="s">
        <v>22</v>
      </c>
      <c r="M160" s="1">
        <v>45176</v>
      </c>
      <c r="N160" t="s">
        <v>52</v>
      </c>
      <c r="O160" t="s">
        <v>47</v>
      </c>
    </row>
    <row r="161" spans="1:15" x14ac:dyDescent="0.3">
      <c r="A161" t="s">
        <v>524</v>
      </c>
      <c r="B161">
        <v>29</v>
      </c>
      <c r="C161" t="s">
        <v>16</v>
      </c>
      <c r="D161" t="s">
        <v>125</v>
      </c>
      <c r="E161" t="s">
        <v>54</v>
      </c>
      <c r="F161" s="1">
        <v>43888</v>
      </c>
      <c r="G161" t="s">
        <v>525</v>
      </c>
      <c r="H161" t="s">
        <v>526</v>
      </c>
      <c r="I161" t="s">
        <v>30</v>
      </c>
      <c r="J161">
        <v>41939.119939999997</v>
      </c>
      <c r="K161">
        <v>453</v>
      </c>
      <c r="L161" t="s">
        <v>46</v>
      </c>
      <c r="M161" s="1">
        <v>43916</v>
      </c>
      <c r="N161" t="s">
        <v>32</v>
      </c>
      <c r="O161" t="s">
        <v>24</v>
      </c>
    </row>
    <row r="162" spans="1:15" x14ac:dyDescent="0.3">
      <c r="A162" t="s">
        <v>527</v>
      </c>
      <c r="B162">
        <v>81</v>
      </c>
      <c r="C162" t="s">
        <v>35</v>
      </c>
      <c r="D162" t="s">
        <v>59</v>
      </c>
      <c r="E162" t="s">
        <v>18</v>
      </c>
      <c r="F162" s="1">
        <v>44384</v>
      </c>
      <c r="G162" t="s">
        <v>528</v>
      </c>
      <c r="H162" t="s">
        <v>529</v>
      </c>
      <c r="I162" t="s">
        <v>57</v>
      </c>
      <c r="J162">
        <v>41982.374400000001</v>
      </c>
      <c r="K162">
        <v>261</v>
      </c>
      <c r="L162" t="s">
        <v>46</v>
      </c>
      <c r="M162" s="1">
        <v>44392</v>
      </c>
      <c r="N162" t="s">
        <v>40</v>
      </c>
      <c r="O162" t="s">
        <v>47</v>
      </c>
    </row>
    <row r="163" spans="1:15" x14ac:dyDescent="0.3">
      <c r="A163" t="s">
        <v>530</v>
      </c>
      <c r="B163">
        <v>66</v>
      </c>
      <c r="C163" t="s">
        <v>35</v>
      </c>
      <c r="D163" t="s">
        <v>59</v>
      </c>
      <c r="E163" t="s">
        <v>27</v>
      </c>
      <c r="F163" s="1">
        <v>44715</v>
      </c>
      <c r="G163" t="s">
        <v>531</v>
      </c>
      <c r="H163" t="s">
        <v>532</v>
      </c>
      <c r="I163" t="s">
        <v>65</v>
      </c>
      <c r="J163">
        <v>33861.018629999999</v>
      </c>
      <c r="K163">
        <v>115</v>
      </c>
      <c r="L163" t="s">
        <v>46</v>
      </c>
      <c r="M163" s="1">
        <v>44739</v>
      </c>
      <c r="N163" t="s">
        <v>40</v>
      </c>
      <c r="O163" t="s">
        <v>24</v>
      </c>
    </row>
    <row r="164" spans="1:15" x14ac:dyDescent="0.3">
      <c r="A164" t="s">
        <v>533</v>
      </c>
      <c r="B164">
        <v>65</v>
      </c>
      <c r="C164" t="s">
        <v>16</v>
      </c>
      <c r="D164" t="s">
        <v>17</v>
      </c>
      <c r="E164" t="s">
        <v>54</v>
      </c>
      <c r="F164" s="1">
        <v>43881</v>
      </c>
      <c r="G164" t="s">
        <v>534</v>
      </c>
      <c r="H164" t="s">
        <v>535</v>
      </c>
      <c r="I164" t="s">
        <v>39</v>
      </c>
      <c r="J164">
        <v>49321.157630000002</v>
      </c>
      <c r="K164">
        <v>167</v>
      </c>
      <c r="L164" t="s">
        <v>31</v>
      </c>
      <c r="M164" s="1">
        <v>43891</v>
      </c>
      <c r="N164" t="s">
        <v>52</v>
      </c>
      <c r="O164" t="s">
        <v>47</v>
      </c>
    </row>
    <row r="165" spans="1:15" x14ac:dyDescent="0.3">
      <c r="A165" t="s">
        <v>536</v>
      </c>
      <c r="B165">
        <v>80</v>
      </c>
      <c r="C165" t="s">
        <v>16</v>
      </c>
      <c r="D165" t="s">
        <v>59</v>
      </c>
      <c r="E165" t="s">
        <v>54</v>
      </c>
      <c r="F165" s="1">
        <v>44232</v>
      </c>
      <c r="G165" t="s">
        <v>537</v>
      </c>
      <c r="H165" t="s">
        <v>538</v>
      </c>
      <c r="I165" t="s">
        <v>65</v>
      </c>
      <c r="J165">
        <v>47433.27865</v>
      </c>
      <c r="K165">
        <v>179</v>
      </c>
      <c r="L165" t="s">
        <v>46</v>
      </c>
      <c r="M165" s="1">
        <v>44260</v>
      </c>
      <c r="N165" t="s">
        <v>52</v>
      </c>
      <c r="O165" t="s">
        <v>33</v>
      </c>
    </row>
    <row r="166" spans="1:15" x14ac:dyDescent="0.3">
      <c r="A166" t="s">
        <v>539</v>
      </c>
      <c r="B166">
        <v>72</v>
      </c>
      <c r="C166" t="s">
        <v>35</v>
      </c>
      <c r="D166" t="s">
        <v>125</v>
      </c>
      <c r="E166" t="s">
        <v>93</v>
      </c>
      <c r="F166" s="1">
        <v>44128</v>
      </c>
      <c r="G166" t="s">
        <v>540</v>
      </c>
      <c r="H166" t="s">
        <v>541</v>
      </c>
      <c r="I166" t="s">
        <v>30</v>
      </c>
      <c r="J166">
        <v>19065.060890000001</v>
      </c>
      <c r="K166">
        <v>490</v>
      </c>
      <c r="L166" t="s">
        <v>31</v>
      </c>
      <c r="M166" s="1">
        <v>44137</v>
      </c>
      <c r="N166" t="s">
        <v>23</v>
      </c>
      <c r="O166" t="s">
        <v>47</v>
      </c>
    </row>
    <row r="167" spans="1:15" x14ac:dyDescent="0.3">
      <c r="A167" t="s">
        <v>542</v>
      </c>
      <c r="B167">
        <v>85</v>
      </c>
      <c r="C167" t="s">
        <v>16</v>
      </c>
      <c r="D167" t="s">
        <v>125</v>
      </c>
      <c r="E167" t="s">
        <v>18</v>
      </c>
      <c r="F167" s="1">
        <v>45266</v>
      </c>
      <c r="G167" t="s">
        <v>543</v>
      </c>
      <c r="H167" t="s">
        <v>544</v>
      </c>
      <c r="I167" t="s">
        <v>65</v>
      </c>
      <c r="J167">
        <v>50142.026949999999</v>
      </c>
      <c r="K167">
        <v>258</v>
      </c>
      <c r="L167" t="s">
        <v>46</v>
      </c>
      <c r="M167" s="1">
        <v>45279</v>
      </c>
      <c r="N167" t="s">
        <v>32</v>
      </c>
      <c r="O167" t="s">
        <v>47</v>
      </c>
    </row>
    <row r="168" spans="1:15" x14ac:dyDescent="0.3">
      <c r="A168" t="s">
        <v>545</v>
      </c>
      <c r="B168">
        <v>68</v>
      </c>
      <c r="C168" t="s">
        <v>35</v>
      </c>
      <c r="D168" t="s">
        <v>42</v>
      </c>
      <c r="E168" t="s">
        <v>76</v>
      </c>
      <c r="F168" s="1">
        <v>44551</v>
      </c>
      <c r="G168" t="s">
        <v>546</v>
      </c>
      <c r="H168" t="s">
        <v>547</v>
      </c>
      <c r="I168" t="s">
        <v>39</v>
      </c>
      <c r="J168">
        <v>12081.679029999999</v>
      </c>
      <c r="K168">
        <v>483</v>
      </c>
      <c r="L168" t="s">
        <v>22</v>
      </c>
      <c r="M168" s="1">
        <v>44560</v>
      </c>
      <c r="N168" t="s">
        <v>79</v>
      </c>
      <c r="O168" t="s">
        <v>47</v>
      </c>
    </row>
    <row r="169" spans="1:15" x14ac:dyDescent="0.3">
      <c r="A169" t="s">
        <v>548</v>
      </c>
      <c r="B169">
        <v>56</v>
      </c>
      <c r="C169" t="s">
        <v>35</v>
      </c>
      <c r="D169" t="s">
        <v>36</v>
      </c>
      <c r="E169" t="s">
        <v>18</v>
      </c>
      <c r="F169" s="1">
        <v>45172</v>
      </c>
      <c r="G169" t="s">
        <v>549</v>
      </c>
      <c r="H169" t="s">
        <v>550</v>
      </c>
      <c r="I169" t="s">
        <v>39</v>
      </c>
      <c r="J169">
        <v>18030.790779999999</v>
      </c>
      <c r="K169">
        <v>273</v>
      </c>
      <c r="L169" t="s">
        <v>46</v>
      </c>
      <c r="M169" s="1">
        <v>45199</v>
      </c>
      <c r="N169" t="s">
        <v>79</v>
      </c>
      <c r="O169" t="s">
        <v>33</v>
      </c>
    </row>
    <row r="170" spans="1:15" x14ac:dyDescent="0.3">
      <c r="A170" t="s">
        <v>551</v>
      </c>
      <c r="B170">
        <v>53</v>
      </c>
      <c r="C170" t="s">
        <v>35</v>
      </c>
      <c r="D170" t="s">
        <v>125</v>
      </c>
      <c r="E170" t="s">
        <v>54</v>
      </c>
      <c r="F170" s="1">
        <v>44122</v>
      </c>
      <c r="G170" t="s">
        <v>552</v>
      </c>
      <c r="H170" t="s">
        <v>553</v>
      </c>
      <c r="I170" t="s">
        <v>30</v>
      </c>
      <c r="J170">
        <v>5142.1637629999996</v>
      </c>
      <c r="K170">
        <v>120</v>
      </c>
      <c r="L170" t="s">
        <v>46</v>
      </c>
      <c r="M170" s="1">
        <v>44145</v>
      </c>
      <c r="N170" t="s">
        <v>23</v>
      </c>
      <c r="O170" t="s">
        <v>47</v>
      </c>
    </row>
    <row r="171" spans="1:15" x14ac:dyDescent="0.3">
      <c r="A171" t="s">
        <v>554</v>
      </c>
      <c r="B171">
        <v>37</v>
      </c>
      <c r="C171" t="s">
        <v>35</v>
      </c>
      <c r="D171" t="s">
        <v>103</v>
      </c>
      <c r="E171" t="s">
        <v>54</v>
      </c>
      <c r="F171" s="1">
        <v>44384</v>
      </c>
      <c r="G171" t="s">
        <v>555</v>
      </c>
      <c r="H171" t="s">
        <v>556</v>
      </c>
      <c r="I171" t="s">
        <v>57</v>
      </c>
      <c r="J171">
        <v>19851.24293</v>
      </c>
      <c r="K171">
        <v>202</v>
      </c>
      <c r="L171" t="s">
        <v>46</v>
      </c>
      <c r="M171" s="1">
        <v>44401</v>
      </c>
      <c r="N171" t="s">
        <v>52</v>
      </c>
      <c r="O171" t="s">
        <v>24</v>
      </c>
    </row>
    <row r="172" spans="1:15" x14ac:dyDescent="0.3">
      <c r="A172" t="s">
        <v>557</v>
      </c>
      <c r="B172">
        <v>57</v>
      </c>
      <c r="C172" t="s">
        <v>35</v>
      </c>
      <c r="D172" t="s">
        <v>42</v>
      </c>
      <c r="E172" t="s">
        <v>76</v>
      </c>
      <c r="F172" s="1">
        <v>45166</v>
      </c>
      <c r="G172" t="s">
        <v>558</v>
      </c>
      <c r="H172" t="s">
        <v>559</v>
      </c>
      <c r="I172" t="s">
        <v>65</v>
      </c>
      <c r="J172">
        <v>20545.871760000002</v>
      </c>
      <c r="K172">
        <v>198</v>
      </c>
      <c r="L172" t="s">
        <v>22</v>
      </c>
      <c r="M172" s="1">
        <v>45185</v>
      </c>
      <c r="N172" t="s">
        <v>52</v>
      </c>
      <c r="O172" t="s">
        <v>47</v>
      </c>
    </row>
    <row r="173" spans="1:15" x14ac:dyDescent="0.3">
      <c r="A173" t="s">
        <v>560</v>
      </c>
      <c r="B173">
        <v>36</v>
      </c>
      <c r="C173" t="s">
        <v>16</v>
      </c>
      <c r="D173" t="s">
        <v>42</v>
      </c>
      <c r="E173" t="s">
        <v>93</v>
      </c>
      <c r="F173" s="1">
        <v>43786</v>
      </c>
      <c r="G173" t="s">
        <v>561</v>
      </c>
      <c r="H173" t="s">
        <v>562</v>
      </c>
      <c r="I173" t="s">
        <v>65</v>
      </c>
      <c r="J173">
        <v>36869.725740000002</v>
      </c>
      <c r="K173">
        <v>368</v>
      </c>
      <c r="L173" t="s">
        <v>22</v>
      </c>
      <c r="M173" s="1">
        <v>43800</v>
      </c>
      <c r="N173" t="s">
        <v>52</v>
      </c>
      <c r="O173" t="s">
        <v>24</v>
      </c>
    </row>
    <row r="174" spans="1:15" x14ac:dyDescent="0.3">
      <c r="A174" t="s">
        <v>563</v>
      </c>
      <c r="B174">
        <v>20</v>
      </c>
      <c r="C174" t="s">
        <v>35</v>
      </c>
      <c r="D174" t="s">
        <v>103</v>
      </c>
      <c r="E174" t="s">
        <v>18</v>
      </c>
      <c r="F174" s="1">
        <v>44157</v>
      </c>
      <c r="G174" t="s">
        <v>564</v>
      </c>
      <c r="H174" t="s">
        <v>565</v>
      </c>
      <c r="I174" t="s">
        <v>65</v>
      </c>
      <c r="J174">
        <v>40598.422570000002</v>
      </c>
      <c r="K174">
        <v>113</v>
      </c>
      <c r="L174" t="s">
        <v>46</v>
      </c>
      <c r="M174" s="1">
        <v>44182</v>
      </c>
      <c r="N174" t="s">
        <v>23</v>
      </c>
      <c r="O174" t="s">
        <v>24</v>
      </c>
    </row>
    <row r="175" spans="1:15" x14ac:dyDescent="0.3">
      <c r="A175" t="s">
        <v>566</v>
      </c>
      <c r="B175">
        <v>83</v>
      </c>
      <c r="C175" t="s">
        <v>16</v>
      </c>
      <c r="D175" t="s">
        <v>125</v>
      </c>
      <c r="E175" t="s">
        <v>54</v>
      </c>
      <c r="F175" s="1">
        <v>44513</v>
      </c>
      <c r="G175" t="s">
        <v>567</v>
      </c>
      <c r="H175" t="s">
        <v>568</v>
      </c>
      <c r="I175" t="s">
        <v>39</v>
      </c>
      <c r="J175">
        <v>18198.058519999999</v>
      </c>
      <c r="K175">
        <v>308</v>
      </c>
      <c r="L175" t="s">
        <v>22</v>
      </c>
      <c r="M175" s="1">
        <v>44538</v>
      </c>
      <c r="N175" t="s">
        <v>32</v>
      </c>
      <c r="O175" t="s">
        <v>24</v>
      </c>
    </row>
    <row r="176" spans="1:15" x14ac:dyDescent="0.3">
      <c r="A176" t="s">
        <v>569</v>
      </c>
      <c r="B176">
        <v>79</v>
      </c>
      <c r="C176" t="s">
        <v>16</v>
      </c>
      <c r="D176" t="s">
        <v>103</v>
      </c>
      <c r="E176" t="s">
        <v>27</v>
      </c>
      <c r="F176" s="1">
        <v>44605</v>
      </c>
      <c r="G176" t="s">
        <v>570</v>
      </c>
      <c r="H176" t="s">
        <v>571</v>
      </c>
      <c r="I176" t="s">
        <v>21</v>
      </c>
      <c r="J176">
        <v>4920.0411889999996</v>
      </c>
      <c r="K176">
        <v>278</v>
      </c>
      <c r="L176" t="s">
        <v>46</v>
      </c>
      <c r="M176" s="1">
        <v>44612</v>
      </c>
      <c r="N176" t="s">
        <v>23</v>
      </c>
      <c r="O176" t="s">
        <v>24</v>
      </c>
    </row>
    <row r="177" spans="1:15" x14ac:dyDescent="0.3">
      <c r="A177" t="s">
        <v>572</v>
      </c>
      <c r="B177">
        <v>62</v>
      </c>
      <c r="C177" t="s">
        <v>16</v>
      </c>
      <c r="D177" t="s">
        <v>42</v>
      </c>
      <c r="E177" t="s">
        <v>43</v>
      </c>
      <c r="F177" s="1">
        <v>43601</v>
      </c>
      <c r="G177" t="s">
        <v>573</v>
      </c>
      <c r="H177" t="s">
        <v>574</v>
      </c>
      <c r="I177" t="s">
        <v>57</v>
      </c>
      <c r="J177">
        <v>3864.1394989999999</v>
      </c>
      <c r="K177">
        <v>103</v>
      </c>
      <c r="L177" t="s">
        <v>22</v>
      </c>
      <c r="M177" s="1">
        <v>43616</v>
      </c>
      <c r="N177" t="s">
        <v>40</v>
      </c>
      <c r="O177" t="s">
        <v>33</v>
      </c>
    </row>
    <row r="178" spans="1:15" x14ac:dyDescent="0.3">
      <c r="A178" t="s">
        <v>575</v>
      </c>
      <c r="B178">
        <v>38</v>
      </c>
      <c r="C178" t="s">
        <v>16</v>
      </c>
      <c r="D178" t="s">
        <v>49</v>
      </c>
      <c r="E178" t="s">
        <v>54</v>
      </c>
      <c r="F178" s="1">
        <v>44412</v>
      </c>
      <c r="G178" t="s">
        <v>576</v>
      </c>
      <c r="H178" t="s">
        <v>577</v>
      </c>
      <c r="I178" t="s">
        <v>21</v>
      </c>
      <c r="J178">
        <v>21562.86105</v>
      </c>
      <c r="K178">
        <v>400</v>
      </c>
      <c r="L178" t="s">
        <v>22</v>
      </c>
      <c r="M178" s="1">
        <v>44434</v>
      </c>
      <c r="N178" t="s">
        <v>23</v>
      </c>
      <c r="O178" t="s">
        <v>24</v>
      </c>
    </row>
    <row r="179" spans="1:15" x14ac:dyDescent="0.3">
      <c r="A179" t="s">
        <v>578</v>
      </c>
      <c r="B179">
        <v>75</v>
      </c>
      <c r="C179" t="s">
        <v>35</v>
      </c>
      <c r="D179" t="s">
        <v>17</v>
      </c>
      <c r="E179" t="s">
        <v>18</v>
      </c>
      <c r="F179" s="1">
        <v>43833</v>
      </c>
      <c r="G179" t="s">
        <v>579</v>
      </c>
      <c r="H179" t="s">
        <v>580</v>
      </c>
      <c r="I179" t="s">
        <v>30</v>
      </c>
      <c r="J179">
        <v>11815.202740000001</v>
      </c>
      <c r="K179">
        <v>401</v>
      </c>
      <c r="L179" t="s">
        <v>46</v>
      </c>
      <c r="M179" s="1">
        <v>43857</v>
      </c>
      <c r="N179" t="s">
        <v>32</v>
      </c>
      <c r="O179" t="s">
        <v>47</v>
      </c>
    </row>
    <row r="180" spans="1:15" x14ac:dyDescent="0.3">
      <c r="A180" t="s">
        <v>581</v>
      </c>
      <c r="B180">
        <v>28</v>
      </c>
      <c r="C180" t="s">
        <v>16</v>
      </c>
      <c r="D180" t="s">
        <v>26</v>
      </c>
      <c r="E180" t="s">
        <v>76</v>
      </c>
      <c r="F180" s="1">
        <v>44817</v>
      </c>
      <c r="G180" t="s">
        <v>582</v>
      </c>
      <c r="H180" t="s">
        <v>583</v>
      </c>
      <c r="I180" t="s">
        <v>65</v>
      </c>
      <c r="J180">
        <v>25796.86967</v>
      </c>
      <c r="K180">
        <v>258</v>
      </c>
      <c r="L180" t="s">
        <v>22</v>
      </c>
      <c r="M180" s="1">
        <v>44841</v>
      </c>
      <c r="N180" t="s">
        <v>79</v>
      </c>
      <c r="O180" t="s">
        <v>47</v>
      </c>
    </row>
    <row r="181" spans="1:15" x14ac:dyDescent="0.3">
      <c r="A181" t="s">
        <v>584</v>
      </c>
      <c r="B181">
        <v>36</v>
      </c>
      <c r="C181" t="s">
        <v>16</v>
      </c>
      <c r="D181" t="s">
        <v>125</v>
      </c>
      <c r="E181" t="s">
        <v>76</v>
      </c>
      <c r="F181" s="1">
        <v>44184</v>
      </c>
      <c r="G181" t="s">
        <v>585</v>
      </c>
      <c r="H181" t="s">
        <v>586</v>
      </c>
      <c r="I181" t="s">
        <v>57</v>
      </c>
      <c r="J181">
        <v>4266.7843069999999</v>
      </c>
      <c r="K181">
        <v>268</v>
      </c>
      <c r="L181" t="s">
        <v>31</v>
      </c>
      <c r="M181" s="1">
        <v>44205</v>
      </c>
      <c r="N181" t="s">
        <v>79</v>
      </c>
      <c r="O181" t="s">
        <v>24</v>
      </c>
    </row>
    <row r="182" spans="1:15" x14ac:dyDescent="0.3">
      <c r="A182" t="s">
        <v>587</v>
      </c>
      <c r="B182">
        <v>54</v>
      </c>
      <c r="C182" t="s">
        <v>16</v>
      </c>
      <c r="D182" t="s">
        <v>49</v>
      </c>
      <c r="E182" t="s">
        <v>27</v>
      </c>
      <c r="F182" s="1">
        <v>45016</v>
      </c>
      <c r="G182" t="s">
        <v>588</v>
      </c>
      <c r="H182" t="s">
        <v>589</v>
      </c>
      <c r="I182" t="s">
        <v>65</v>
      </c>
      <c r="J182">
        <v>4751.1627410000001</v>
      </c>
      <c r="K182">
        <v>192</v>
      </c>
      <c r="L182" t="s">
        <v>22</v>
      </c>
      <c r="M182" s="1">
        <v>45045</v>
      </c>
      <c r="N182" t="s">
        <v>52</v>
      </c>
      <c r="O182" t="s">
        <v>33</v>
      </c>
    </row>
    <row r="183" spans="1:15" x14ac:dyDescent="0.3">
      <c r="A183" t="s">
        <v>590</v>
      </c>
      <c r="B183">
        <v>81</v>
      </c>
      <c r="C183" t="s">
        <v>35</v>
      </c>
      <c r="D183" t="s">
        <v>17</v>
      </c>
      <c r="E183" t="s">
        <v>43</v>
      </c>
      <c r="F183" s="1">
        <v>43959</v>
      </c>
      <c r="G183" t="s">
        <v>591</v>
      </c>
      <c r="H183" t="s">
        <v>592</v>
      </c>
      <c r="I183" t="s">
        <v>39</v>
      </c>
      <c r="J183">
        <v>17968.495989999999</v>
      </c>
      <c r="K183">
        <v>285</v>
      </c>
      <c r="L183" t="s">
        <v>31</v>
      </c>
      <c r="M183" s="1">
        <v>43979</v>
      </c>
      <c r="N183" t="s">
        <v>79</v>
      </c>
      <c r="O183" t="s">
        <v>33</v>
      </c>
    </row>
    <row r="184" spans="1:15" x14ac:dyDescent="0.3">
      <c r="A184" t="s">
        <v>593</v>
      </c>
      <c r="B184">
        <v>56</v>
      </c>
      <c r="C184" t="s">
        <v>35</v>
      </c>
      <c r="D184" t="s">
        <v>49</v>
      </c>
      <c r="E184" t="s">
        <v>27</v>
      </c>
      <c r="F184" s="1">
        <v>45138</v>
      </c>
      <c r="G184" t="s">
        <v>594</v>
      </c>
      <c r="H184" t="s">
        <v>595</v>
      </c>
      <c r="I184" t="s">
        <v>65</v>
      </c>
      <c r="J184">
        <v>11311.32735</v>
      </c>
      <c r="K184">
        <v>302</v>
      </c>
      <c r="L184" t="s">
        <v>22</v>
      </c>
      <c r="M184" s="1">
        <v>45140</v>
      </c>
      <c r="N184" t="s">
        <v>79</v>
      </c>
      <c r="O184" t="s">
        <v>24</v>
      </c>
    </row>
    <row r="185" spans="1:15" x14ac:dyDescent="0.3">
      <c r="A185" t="s">
        <v>596</v>
      </c>
      <c r="B185">
        <v>30</v>
      </c>
      <c r="C185" t="s">
        <v>16</v>
      </c>
      <c r="D185" t="s">
        <v>59</v>
      </c>
      <c r="E185" t="s">
        <v>76</v>
      </c>
      <c r="F185" s="1">
        <v>44570</v>
      </c>
      <c r="G185" t="s">
        <v>597</v>
      </c>
      <c r="H185" t="s">
        <v>598</v>
      </c>
      <c r="I185" t="s">
        <v>21</v>
      </c>
      <c r="J185">
        <v>47242.224300000002</v>
      </c>
      <c r="K185">
        <v>418</v>
      </c>
      <c r="L185" t="s">
        <v>31</v>
      </c>
      <c r="M185" s="1">
        <v>44573</v>
      </c>
      <c r="N185" t="s">
        <v>32</v>
      </c>
      <c r="O185" t="s">
        <v>33</v>
      </c>
    </row>
    <row r="186" spans="1:15" x14ac:dyDescent="0.3">
      <c r="A186" t="s">
        <v>599</v>
      </c>
      <c r="B186">
        <v>64</v>
      </c>
      <c r="C186" t="s">
        <v>35</v>
      </c>
      <c r="D186" t="s">
        <v>36</v>
      </c>
      <c r="E186" t="s">
        <v>43</v>
      </c>
      <c r="F186" s="1">
        <v>45276</v>
      </c>
      <c r="G186" t="s">
        <v>600</v>
      </c>
      <c r="H186" t="s">
        <v>601</v>
      </c>
      <c r="I186" t="s">
        <v>65</v>
      </c>
      <c r="J186">
        <v>17670.505219999999</v>
      </c>
      <c r="K186">
        <v>128</v>
      </c>
      <c r="L186" t="s">
        <v>46</v>
      </c>
      <c r="M186" s="1">
        <v>45306</v>
      </c>
      <c r="N186" t="s">
        <v>23</v>
      </c>
      <c r="O186" t="s">
        <v>33</v>
      </c>
    </row>
    <row r="187" spans="1:15" x14ac:dyDescent="0.3">
      <c r="A187" t="s">
        <v>602</v>
      </c>
      <c r="B187">
        <v>76</v>
      </c>
      <c r="C187" t="s">
        <v>16</v>
      </c>
      <c r="D187" t="s">
        <v>26</v>
      </c>
      <c r="E187" t="s">
        <v>27</v>
      </c>
      <c r="F187" s="1">
        <v>44170</v>
      </c>
      <c r="G187" t="s">
        <v>603</v>
      </c>
      <c r="H187" t="s">
        <v>604</v>
      </c>
      <c r="I187" t="s">
        <v>30</v>
      </c>
      <c r="J187">
        <v>5714.7480180000002</v>
      </c>
      <c r="K187">
        <v>238</v>
      </c>
      <c r="L187" t="s">
        <v>46</v>
      </c>
      <c r="M187" s="1">
        <v>44183</v>
      </c>
      <c r="N187" t="s">
        <v>79</v>
      </c>
      <c r="O187" t="s">
        <v>47</v>
      </c>
    </row>
    <row r="188" spans="1:15" x14ac:dyDescent="0.3">
      <c r="A188" t="s">
        <v>605</v>
      </c>
      <c r="B188">
        <v>21</v>
      </c>
      <c r="C188" t="s">
        <v>35</v>
      </c>
      <c r="D188" t="s">
        <v>49</v>
      </c>
      <c r="E188" t="s">
        <v>43</v>
      </c>
      <c r="F188" s="1">
        <v>44511</v>
      </c>
      <c r="G188" t="s">
        <v>606</v>
      </c>
      <c r="H188" t="s">
        <v>607</v>
      </c>
      <c r="I188" t="s">
        <v>65</v>
      </c>
      <c r="J188">
        <v>5985.9784870000003</v>
      </c>
      <c r="K188">
        <v>136</v>
      </c>
      <c r="L188" t="s">
        <v>22</v>
      </c>
      <c r="M188" s="1">
        <v>44534</v>
      </c>
      <c r="N188" t="s">
        <v>52</v>
      </c>
      <c r="O188" t="s">
        <v>24</v>
      </c>
    </row>
    <row r="189" spans="1:15" x14ac:dyDescent="0.3">
      <c r="A189" t="s">
        <v>608</v>
      </c>
      <c r="B189">
        <v>59</v>
      </c>
      <c r="C189" t="s">
        <v>35</v>
      </c>
      <c r="D189" t="s">
        <v>42</v>
      </c>
      <c r="E189" t="s">
        <v>27</v>
      </c>
      <c r="F189" s="1">
        <v>43719</v>
      </c>
      <c r="G189" t="s">
        <v>609</v>
      </c>
      <c r="H189" t="s">
        <v>610</v>
      </c>
      <c r="I189" t="s">
        <v>21</v>
      </c>
      <c r="J189">
        <v>27385.736229999999</v>
      </c>
      <c r="K189">
        <v>427</v>
      </c>
      <c r="L189" t="s">
        <v>31</v>
      </c>
      <c r="M189" s="1">
        <v>43723</v>
      </c>
      <c r="N189" t="s">
        <v>52</v>
      </c>
      <c r="O189" t="s">
        <v>33</v>
      </c>
    </row>
    <row r="190" spans="1:15" x14ac:dyDescent="0.3">
      <c r="A190" t="s">
        <v>611</v>
      </c>
      <c r="B190">
        <v>31</v>
      </c>
      <c r="C190" t="s">
        <v>35</v>
      </c>
      <c r="D190" t="s">
        <v>36</v>
      </c>
      <c r="E190" t="s">
        <v>43</v>
      </c>
      <c r="F190" s="1">
        <v>44180</v>
      </c>
      <c r="G190" t="s">
        <v>612</v>
      </c>
      <c r="H190" t="s">
        <v>613</v>
      </c>
      <c r="I190" t="s">
        <v>57</v>
      </c>
      <c r="J190">
        <v>3730.002191</v>
      </c>
      <c r="K190">
        <v>218</v>
      </c>
      <c r="L190" t="s">
        <v>22</v>
      </c>
      <c r="M190" s="1">
        <v>44197</v>
      </c>
      <c r="N190" t="s">
        <v>32</v>
      </c>
      <c r="O190" t="s">
        <v>47</v>
      </c>
    </row>
    <row r="191" spans="1:15" x14ac:dyDescent="0.3">
      <c r="A191" t="s">
        <v>614</v>
      </c>
      <c r="B191">
        <v>36</v>
      </c>
      <c r="C191" t="s">
        <v>35</v>
      </c>
      <c r="D191" t="s">
        <v>42</v>
      </c>
      <c r="E191" t="s">
        <v>54</v>
      </c>
      <c r="F191" s="1">
        <v>44903</v>
      </c>
      <c r="G191" t="s">
        <v>615</v>
      </c>
      <c r="H191" t="s">
        <v>616</v>
      </c>
      <c r="I191" t="s">
        <v>21</v>
      </c>
      <c r="J191">
        <v>22480.965929999998</v>
      </c>
      <c r="K191">
        <v>348</v>
      </c>
      <c r="L191" t="s">
        <v>46</v>
      </c>
      <c r="M191" s="1">
        <v>44928</v>
      </c>
      <c r="N191" t="s">
        <v>32</v>
      </c>
      <c r="O191" t="s">
        <v>33</v>
      </c>
    </row>
    <row r="192" spans="1:15" x14ac:dyDescent="0.3">
      <c r="A192" t="s">
        <v>617</v>
      </c>
      <c r="B192">
        <v>42</v>
      </c>
      <c r="C192" t="s">
        <v>35</v>
      </c>
      <c r="D192" t="s">
        <v>103</v>
      </c>
      <c r="E192" t="s">
        <v>43</v>
      </c>
      <c r="F192" s="1">
        <v>44392</v>
      </c>
      <c r="G192" t="s">
        <v>618</v>
      </c>
      <c r="H192" t="s">
        <v>619</v>
      </c>
      <c r="I192" t="s">
        <v>39</v>
      </c>
      <c r="J192">
        <v>35022.316709999999</v>
      </c>
      <c r="K192">
        <v>486</v>
      </c>
      <c r="L192" t="s">
        <v>46</v>
      </c>
      <c r="M192" s="1">
        <v>44413</v>
      </c>
      <c r="N192" t="s">
        <v>40</v>
      </c>
      <c r="O192" t="s">
        <v>33</v>
      </c>
    </row>
    <row r="193" spans="1:15" x14ac:dyDescent="0.3">
      <c r="A193" t="s">
        <v>620</v>
      </c>
      <c r="B193">
        <v>18</v>
      </c>
      <c r="C193" t="s">
        <v>35</v>
      </c>
      <c r="D193" t="s">
        <v>49</v>
      </c>
      <c r="E193" t="s">
        <v>54</v>
      </c>
      <c r="F193" s="1">
        <v>44728</v>
      </c>
      <c r="G193" t="s">
        <v>621</v>
      </c>
      <c r="H193" t="s">
        <v>622</v>
      </c>
      <c r="I193" t="s">
        <v>21</v>
      </c>
      <c r="J193">
        <v>45072.418259999999</v>
      </c>
      <c r="K193">
        <v>147</v>
      </c>
      <c r="L193" t="s">
        <v>22</v>
      </c>
      <c r="M193" s="1">
        <v>44746</v>
      </c>
      <c r="N193" t="s">
        <v>79</v>
      </c>
      <c r="O193" t="s">
        <v>33</v>
      </c>
    </row>
    <row r="194" spans="1:15" x14ac:dyDescent="0.3">
      <c r="A194" t="s">
        <v>623</v>
      </c>
      <c r="B194">
        <v>62</v>
      </c>
      <c r="C194" t="s">
        <v>35</v>
      </c>
      <c r="D194" t="s">
        <v>26</v>
      </c>
      <c r="E194" t="s">
        <v>27</v>
      </c>
      <c r="F194" s="1">
        <v>45331</v>
      </c>
      <c r="G194" t="s">
        <v>624</v>
      </c>
      <c r="H194" t="s">
        <v>625</v>
      </c>
      <c r="I194" t="s">
        <v>57</v>
      </c>
      <c r="J194">
        <v>45902.707640000001</v>
      </c>
      <c r="K194">
        <v>126</v>
      </c>
      <c r="L194" t="s">
        <v>22</v>
      </c>
      <c r="M194" s="1">
        <v>45341</v>
      </c>
      <c r="N194" t="s">
        <v>40</v>
      </c>
      <c r="O194" t="s">
        <v>24</v>
      </c>
    </row>
    <row r="195" spans="1:15" x14ac:dyDescent="0.3">
      <c r="A195" t="s">
        <v>626</v>
      </c>
      <c r="B195">
        <v>53</v>
      </c>
      <c r="C195" t="s">
        <v>16</v>
      </c>
      <c r="D195" t="s">
        <v>49</v>
      </c>
      <c r="E195" t="s">
        <v>76</v>
      </c>
      <c r="F195" s="1">
        <v>45355</v>
      </c>
      <c r="G195" t="s">
        <v>627</v>
      </c>
      <c r="H195" t="s">
        <v>628</v>
      </c>
      <c r="I195" t="s">
        <v>30</v>
      </c>
      <c r="J195">
        <v>28899.18576</v>
      </c>
      <c r="K195">
        <v>314</v>
      </c>
      <c r="L195" t="s">
        <v>31</v>
      </c>
      <c r="M195" s="1">
        <v>45369</v>
      </c>
      <c r="N195" t="s">
        <v>23</v>
      </c>
      <c r="O195" t="s">
        <v>47</v>
      </c>
    </row>
    <row r="196" spans="1:15" x14ac:dyDescent="0.3">
      <c r="A196" t="s">
        <v>629</v>
      </c>
      <c r="B196">
        <v>82</v>
      </c>
      <c r="C196" t="s">
        <v>35</v>
      </c>
      <c r="D196" t="s">
        <v>26</v>
      </c>
      <c r="E196" t="s">
        <v>27</v>
      </c>
      <c r="F196" s="1">
        <v>44603</v>
      </c>
      <c r="G196" t="s">
        <v>630</v>
      </c>
      <c r="H196" t="s">
        <v>631</v>
      </c>
      <c r="I196" t="s">
        <v>21</v>
      </c>
      <c r="J196">
        <v>39003.18144</v>
      </c>
      <c r="K196">
        <v>133</v>
      </c>
      <c r="L196" t="s">
        <v>46</v>
      </c>
      <c r="M196" s="1">
        <v>44617</v>
      </c>
      <c r="N196" t="s">
        <v>79</v>
      </c>
      <c r="O196" t="s">
        <v>24</v>
      </c>
    </row>
    <row r="197" spans="1:15" x14ac:dyDescent="0.3">
      <c r="A197" t="s">
        <v>632</v>
      </c>
      <c r="B197">
        <v>19</v>
      </c>
      <c r="C197" t="s">
        <v>35</v>
      </c>
      <c r="D197" t="s">
        <v>125</v>
      </c>
      <c r="E197" t="s">
        <v>43</v>
      </c>
      <c r="F197" s="1">
        <v>44600</v>
      </c>
      <c r="G197" t="s">
        <v>633</v>
      </c>
      <c r="H197" t="s">
        <v>634</v>
      </c>
      <c r="I197" t="s">
        <v>21</v>
      </c>
      <c r="J197">
        <v>10348.818520000001</v>
      </c>
      <c r="K197">
        <v>271</v>
      </c>
      <c r="L197" t="s">
        <v>31</v>
      </c>
      <c r="M197" s="1">
        <v>44609</v>
      </c>
      <c r="N197" t="s">
        <v>32</v>
      </c>
      <c r="O197" t="s">
        <v>33</v>
      </c>
    </row>
    <row r="198" spans="1:15" x14ac:dyDescent="0.3">
      <c r="A198" t="s">
        <v>635</v>
      </c>
      <c r="B198">
        <v>83</v>
      </c>
      <c r="C198" t="s">
        <v>35</v>
      </c>
      <c r="D198" t="s">
        <v>36</v>
      </c>
      <c r="E198" t="s">
        <v>76</v>
      </c>
      <c r="F198" s="1">
        <v>45092</v>
      </c>
      <c r="G198" t="s">
        <v>636</v>
      </c>
      <c r="H198" t="s">
        <v>637</v>
      </c>
      <c r="I198" t="s">
        <v>57</v>
      </c>
      <c r="J198">
        <v>14371.539699999999</v>
      </c>
      <c r="K198">
        <v>341</v>
      </c>
      <c r="L198" t="s">
        <v>22</v>
      </c>
      <c r="M198" s="1">
        <v>45107</v>
      </c>
      <c r="N198" t="s">
        <v>23</v>
      </c>
      <c r="O198" t="s">
        <v>33</v>
      </c>
    </row>
    <row r="199" spans="1:15" x14ac:dyDescent="0.3">
      <c r="A199" t="s">
        <v>638</v>
      </c>
      <c r="B199">
        <v>26</v>
      </c>
      <c r="C199" t="s">
        <v>16</v>
      </c>
      <c r="D199" t="s">
        <v>125</v>
      </c>
      <c r="E199" t="s">
        <v>43</v>
      </c>
      <c r="F199" s="1">
        <v>44480</v>
      </c>
      <c r="G199" t="s">
        <v>639</v>
      </c>
      <c r="H199" t="s">
        <v>640</v>
      </c>
      <c r="I199" t="s">
        <v>57</v>
      </c>
      <c r="J199">
        <v>13769.403130000001</v>
      </c>
      <c r="K199">
        <v>498</v>
      </c>
      <c r="L199" t="s">
        <v>22</v>
      </c>
      <c r="M199" s="1">
        <v>44493</v>
      </c>
      <c r="N199" t="s">
        <v>32</v>
      </c>
      <c r="O199" t="s">
        <v>47</v>
      </c>
    </row>
    <row r="200" spans="1:15" x14ac:dyDescent="0.3">
      <c r="A200" t="s">
        <v>641</v>
      </c>
      <c r="B200">
        <v>51</v>
      </c>
      <c r="C200" t="s">
        <v>16</v>
      </c>
      <c r="D200" t="s">
        <v>42</v>
      </c>
      <c r="E200" t="s">
        <v>93</v>
      </c>
      <c r="F200" s="1">
        <v>44542</v>
      </c>
      <c r="G200" t="s">
        <v>642</v>
      </c>
      <c r="H200" t="s">
        <v>643</v>
      </c>
      <c r="I200" t="s">
        <v>39</v>
      </c>
      <c r="J200">
        <v>35868.538639999999</v>
      </c>
      <c r="K200">
        <v>309</v>
      </c>
      <c r="L200" t="s">
        <v>46</v>
      </c>
      <c r="M200" s="1">
        <v>44560</v>
      </c>
      <c r="N200" t="s">
        <v>79</v>
      </c>
      <c r="O200" t="s">
        <v>47</v>
      </c>
    </row>
  </sheetData>
  <autoFilter ref="A1:O200" xr:uid="{666D4F47-F2C3-4AE1-A705-182DE6C6583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D0A5-4B42-473A-8B51-E252C261D126}">
  <dimension ref="A1"/>
  <sheetViews>
    <sheetView showGridLines="0" tabSelected="1" zoomScale="60" zoomScaleNormal="60" workbookViewId="0">
      <selection activeCell="AL25" sqref="AL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healthcare_dataset</vt:lpstr>
      <vt:lpstr>HealthCare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Mayuresh Sawant</dc:creator>
  <cp:lastModifiedBy>Mayuresh Sawant</cp:lastModifiedBy>
  <dcterms:created xsi:type="dcterms:W3CDTF">2025-09-20T04:52:54Z</dcterms:created>
  <dcterms:modified xsi:type="dcterms:W3CDTF">2025-11-24T10:09:09Z</dcterms:modified>
</cp:coreProperties>
</file>